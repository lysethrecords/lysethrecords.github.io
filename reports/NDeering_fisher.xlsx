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enominator check" sheetId="2" state="visible" r:id="rId4"/>
    <sheet name="0-19 recalc" sheetId="3" state="visible" r:id="rId5"/>
    <sheet name="Fisher inputs" sheetId="4" state="visible" r:id="rId6"/>
    <sheet name="Fisher resul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<sst xmlns="http://schemas.openxmlformats.org/spreadsheetml/2006/main" count="264" uniqueCount="154">
  <si>
    <t xml:space="preserve">North Deering childhood (0-19) recalculation and Fisher combinations</t>
  </si>
  <si>
    <t xml:space="preserve">Corrected September 29, 2026. Replaces the earlier NDeering_fisher.xlsx, which is kept as NDeering_fisher_original.xlsx.</t>
  </si>
  <si>
    <t xml:space="preserve">What was wrong: the state's March 2009 draft tables give 0-19 person-years of 11,760 (North Deering) and 55,500 (rest of Portland). These equal ten times the MALES aged 0-19 in the census file used to build the tables. Females were left out, but the case counts include both sexes.</t>
  </si>
  <si>
    <t xml:space="preserve">What this workbook does: (1) "Denominator check" sums males and females 0-19 by tract from Census_pop.csv; (2) "0-19 recalc" recomputes expected counts and two-sided Poisson p-values with the corrected person-years; (3) "Fisher inputs" and "Fisher results" recombine the p-values by Fisher's method.</t>
  </si>
  <si>
    <t xml:space="preserve">Method notes:</t>
  </si>
  <si>
    <t xml:space="preserve"> - Expected = (comparison-group cases / comparison-group person-years) x North Deering person-years.</t>
  </si>
  <si>
    <t xml:space="preserve"> - Two-sided p = MIN(1, 2 x MIN(upper tail, lower tail)) of the Poisson distribution (the convention the site has used).</t>
  </si>
  <si>
    <t xml:space="preserve"> - Fisher statistic = -2 x sum of ln(p); p-value from chi-square with 2N degrees of freedom (N = number of p-values combined).</t>
  </si>
  <si>
    <t xml:space="preserve"> - Combinations: (1) the two overall rates, 0-19 and 20-44; (2) all individual cancer sites in 0-19 and 20-44 where North Deering had at least one case, excluding the "all cancers" rows; (3) the same across all five age groups.</t>
  </si>
  <si>
    <t xml:space="preserve"> - Only the 0-19 p-values are recalculated here. Ages 20-44 and older p-values are the values already published on the Data page and are unchanged.</t>
  </si>
  <si>
    <t xml:space="preserve"> - Limits that still apply: Fisher's method assumes independent tests and these overlap; age groups and sites were chosen after the data were seen; no adjustment is made for multiple comparisons. See the Analysis page.</t>
  </si>
  <si>
    <t xml:space="preserve">Colour code: blue = typed-in input (source noted); black = formula; green = link to another sheet.</t>
  </si>
  <si>
    <t xml:space="preserve">Sources: Census_pop.csv (census 2000 tract populations by sex and age, as supplied with the state's records); state draft report tables (NDeering_rprttble.xls, March 2009) for case counts and the Cumberland County and Maine person-years; published Data page for the other age groups' p-values.</t>
  </si>
  <si>
    <t xml:space="preserve">Check of the 0-19 denominators against census tract data</t>
  </si>
  <si>
    <t xml:space="preserve">Group</t>
  </si>
  <si>
    <t xml:space="preserve">State draft person-years (as published)</t>
  </si>
  <si>
    <t xml:space="preserve">Males 0-19 x 10</t>
  </si>
  <si>
    <t xml:space="preserve">Females 0-19 x 10</t>
  </si>
  <si>
    <t xml:space="preserve">Both sexes 0-19 x 10 (corrected)</t>
  </si>
  <si>
    <t xml:space="preserve">Both sexes, single-year people</t>
  </si>
  <si>
    <t xml:space="preserve">State draft minus males x 10</t>
  </si>
  <si>
    <t xml:space="preserve">North Deering</t>
  </si>
  <si>
    <t xml:space="preserve">Rest of Portland</t>
  </si>
  <si>
    <t xml:space="preserve">Rows 4-5, column B: person-years as printed in the state's draft Table 1 (source: NDeering_rprttble.xls, March 2009). Column G = 0 means the draft equals the male-only sum.</t>
  </si>
  <si>
    <t xml:space="preserve">North Deering = census tracts 23005002101 and 23005002200 (the two tracts the state used). Rest of Portland = the other 17 tracts.</t>
  </si>
  <si>
    <t xml:space="preserve">Ages 20-44 check (both sexes x 10), for comparison with the state's draft Table 7: North Deering 34,370; rest of Portland 248,800</t>
  </si>
  <si>
    <t xml:space="preserve">Sum of M20-M40_44 and F20-F40_44 for the group, x 10 (from Census_pop.csv).</t>
  </si>
  <si>
    <t xml:space="preserve">Raw data: Census_pop.csv, census 2000 population by tract, sex and single year of age (ages 0-19)</t>
  </si>
  <si>
    <t xml:space="preserve">Tract / group</t>
  </si>
  <si>
    <t xml:space="preserve">M0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</si>
  <si>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</si>
  <si>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</si>
  <si>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</si>
  <si>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</si>
  <si>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</si>
  <si>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</si>
  <si>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</si>
  <si>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</si>
  <si>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</si>
  <si>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</si>
  <si>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</si>
  <si>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</si>
  <si>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</si>
  <si>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</si>
  <si>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</si>
  <si>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</si>
  <si>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</si>
  <si>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</si>
  <si>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</si>
  <si>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F0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</si>
  <si>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</si>
  <si>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</si>
  <si>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</si>
  <si>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</si>
  <si>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</si>
  <si>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</si>
  <si>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</si>
  <si>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</si>
  <si>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</si>
  <si>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</si>
  <si>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F11</t>
  </si>
  <si>
    <t xml:space="preserve">F12</t>
  </si>
  <si>
    <t xml:space="preserve">F13</t>
  </si>
  <si>
    <t xml:space="preserve">F14</t>
  </si>
  <si>
    <t xml:space="preserve">F15</t>
  </si>
  <si>
    <t xml:space="preserve">F16</t>
  </si>
  <si>
    <t xml:space="preserve">F17</t>
  </si>
  <si>
    <t xml:space="preserve">F18</t>
  </si>
  <si>
    <t xml:space="preserve">F19</t>
  </si>
  <si>
    <t xml:space="preserve">Tract ID (CSV column)</t>
  </si>
  <si>
    <t xml:space="preserve">T23005000100</t>
  </si>
  <si>
    <t xml:space="preserve">T23005000200</t>
  </si>
  <si>
    <t xml:space="preserve">T23005000300</t>
  </si>
  <si>
    <t xml:space="preserve">T23005000500</t>
  </si>
  <si>
    <t xml:space="preserve">T23005000600</t>
  </si>
  <si>
    <t xml:space="preserve">T23005001000</t>
  </si>
  <si>
    <t xml:space="preserve">T23005001100</t>
  </si>
  <si>
    <t xml:space="preserve">T23005001200</t>
  </si>
  <si>
    <t xml:space="preserve">T23005001300</t>
  </si>
  <si>
    <t xml:space="preserve">T23005001500</t>
  </si>
  <si>
    <t xml:space="preserve">T23005001700</t>
  </si>
  <si>
    <t xml:space="preserve">T23005001800</t>
  </si>
  <si>
    <t xml:space="preserve">T23005001900</t>
  </si>
  <si>
    <t xml:space="preserve">T23005002001</t>
  </si>
  <si>
    <t xml:space="preserve">T23005002002</t>
  </si>
  <si>
    <t xml:space="preserve">T23005002101</t>
  </si>
  <si>
    <t xml:space="preserve">T23005002102</t>
  </si>
  <si>
    <t xml:space="preserve">T23005002200</t>
  </si>
  <si>
    <t xml:space="preserve">T23005002300</t>
  </si>
  <si>
    <t xml:space="preserve">Ages 0-19: expected counts and two-sided Poisson p-values with corrected person-years</t>
  </si>
  <si>
    <t xml:space="preserve">North Deering person-years</t>
  </si>
  <si>
    <t xml:space="preserve">Portland excl. ND person-years</t>
  </si>
  <si>
    <t xml:space="preserve">Cumberland County person-years</t>
  </si>
  <si>
    <t xml:space="preserve">Source: state draft Table 1 (NDeering_rprttble.xls)</t>
  </si>
  <si>
    <t xml:space="preserve">Maine person-years</t>
  </si>
  <si>
    <t xml:space="preserve">Cancer site</t>
  </si>
  <si>
    <t xml:space="preserve">Comparison</t>
  </si>
  <si>
    <t xml:space="preserve">ND cases</t>
  </si>
  <si>
    <t xml:space="preserve">Comparison cases</t>
  </si>
  <si>
    <t xml:space="preserve">Comparison person-years</t>
  </si>
  <si>
    <t xml:space="preserve">ND person-years</t>
  </si>
  <si>
    <t xml:space="preserve">Expected ND cases</t>
  </si>
  <si>
    <t xml:space="preserve">Upper tail P(X&gt;=obs)</t>
  </si>
  <si>
    <t xml:space="preserve">Lower tail P(X&lt;=obs)</t>
  </si>
  <si>
    <t xml:space="preserve">Two-sided p (corrected)</t>
  </si>
  <si>
    <t xml:space="preserve">p as first published (uncorrected)</t>
  </si>
  <si>
    <t xml:space="preserve">All cancers</t>
  </si>
  <si>
    <t xml:space="preserve">Portland excluding North Deering</t>
  </si>
  <si>
    <t xml:space="preserve">Cumberland County</t>
  </si>
  <si>
    <t xml:space="preserve">Maine</t>
  </si>
  <si>
    <t xml:space="preserve">Acute lymphocytic leukemia</t>
  </si>
  <si>
    <t xml:space="preserve">Brain</t>
  </si>
  <si>
    <t xml:space="preserve">Myeloid &amp; monocytic leukemia</t>
  </si>
  <si>
    <t xml:space="preserve">Hodgkin lymphoma</t>
  </si>
  <si>
    <t xml:space="preserve">Non-Hodgkin lymphoma</t>
  </si>
  <si>
    <t xml:space="preserve">Column K is what the site showed before the correction, for comparison. Cases (columns C, D) are from the state's draft tables and are unchanged. Cells left blank: Portland has no myeloid cases, so no expected count or p-value can be formed.</t>
  </si>
  <si>
    <t xml:space="preserve">p-values entering Fisher's method</t>
  </si>
  <si>
    <t xml:space="preserve">0-19 rows link to the corrected recalculation (green). All other rows are the p-values already published on the Data page (blue), unchanged. Flags: 1 = included in that combination.</t>
  </si>
  <si>
    <t xml:space="preserve">Age band</t>
  </si>
  <si>
    <t xml:space="preserve">p vs Portland excl. ND</t>
  </si>
  <si>
    <t xml:space="preserve">p vs Cumberland</t>
  </si>
  <si>
    <t xml:space="preserve">p vs Maine</t>
  </si>
  <si>
    <t xml:space="preserve">ln p Portland</t>
  </si>
  <si>
    <t xml:space="preserve">ln p Cumberland</t>
  </si>
  <si>
    <t xml:space="preserve">ln p Maine</t>
  </si>
  <si>
    <t xml:space="preserve">Combo 1: two overall rates</t>
  </si>
  <si>
    <t xml:space="preserve">Combo 2: 0-19 + 20-44 sites</t>
  </si>
  <si>
    <t xml:space="preserve">Combo 3: all ages, sites</t>
  </si>
  <si>
    <t xml:space="preserve">0-19</t>
  </si>
  <si>
    <t xml:space="preserve">20-44</t>
  </si>
  <si>
    <t xml:space="preserve">Lung</t>
  </si>
  <si>
    <t xml:space="preserve">Colon</t>
  </si>
  <si>
    <t xml:space="preserve">Breast (female)</t>
  </si>
  <si>
    <t xml:space="preserve">Prostate (male)</t>
  </si>
  <si>
    <t xml:space="preserve">Melanoma</t>
  </si>
  <si>
    <t xml:space="preserve">Thyroid</t>
  </si>
  <si>
    <t xml:space="preserve">Kidney</t>
  </si>
  <si>
    <t xml:space="preserve">45-64</t>
  </si>
  <si>
    <t xml:space="preserve">65-84</t>
  </si>
  <si>
    <t xml:space="preserve">85+</t>
  </si>
  <si>
    <t xml:space="preserve">Fisher's method: combined p-values</t>
  </si>
  <si>
    <t xml:space="preserve">Statistic = -2 x sum of ln p, over the p-values flagged for each combination; p from chi-square with 2N degrees of freedom. Column H is what the site reported before the correction.</t>
  </si>
  <si>
    <t xml:space="preserve">Combination</t>
  </si>
  <si>
    <t xml:space="preserve">Baseline</t>
  </si>
  <si>
    <t xml:space="preserve">N p-values combined</t>
  </si>
  <si>
    <t xml:space="preserve">Fisher statistic</t>
  </si>
  <si>
    <t xml:space="preserve">Degrees of freedom</t>
  </si>
  <si>
    <t xml:space="preserve">Combined p (corrected)</t>
  </si>
  <si>
    <t xml:space="preserve">About 1 in</t>
  </si>
  <si>
    <t xml:space="preserve">Combined p as first published (uncorrected)</t>
  </si>
  <si>
    <t xml:space="preserve">Two overall rates (0-19 + 20-44)</t>
  </si>
  <si>
    <t xml:space="preserve">(0-19 + 20-44), observed cancer types</t>
  </si>
  <si>
    <t xml:space="preserve">All age groups, observed cancer types</t>
  </si>
  <si>
    <t xml:space="preserve">Column H values were computed from p-values rounded to four decimals on the old page, so they can differ from the earlier spreadsheet in the last digit.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</si>
</sst>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0"/>
    <numFmt numFmtId="167" formatCode="0.0000"/>
    <numFmt numFmtId="168" formatCode="0.0000000"/>
    <numFmt numFmtId="169" formatCode="General"/>
    <numFmt numFmtId="170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3B4C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true" outlineLevel="0" collapsed="false">
      <c r="A3" s="2" t="s">
        <v>1</v>
      </c>
    </row>
    <row r="4" customFormat="false" ht="15" hidden="false" customHeight="true" outlineLevel="0" collapsed="false">
      <c r="A4" s="2"/>
    </row>
    <row r="5" customFormat="false" ht="30" hidden="false" customHeight="true" outlineLevel="0" collapsed="false">
      <c r="A5" s="2" t="s">
        <v>2</v>
      </c>
    </row>
    <row r="6" customFormat="false" ht="30" hidden="false" customHeight="true" outlineLevel="0" collapsed="false">
      <c r="A6" s="2" t="s">
        <v>3</v>
      </c>
    </row>
    <row r="7" customFormat="false" ht="15" hidden="false" customHeight="true" outlineLevel="0" collapsed="false">
      <c r="A7" s="2"/>
    </row>
    <row r="8" customFormat="false" ht="15" hidden="false" customHeight="true" outlineLevel="0" collapsed="false">
      <c r="A8" s="2" t="s">
        <v>4</v>
      </c>
    </row>
    <row r="9" customFormat="false" ht="15" hidden="false" customHeight="true" outlineLevel="0" collapsed="false">
      <c r="A9" s="2" t="s">
        <v>5</v>
      </c>
    </row>
    <row r="10" customFormat="false" ht="15" hidden="false" customHeight="true" outlineLevel="0" collapsed="false">
      <c r="A10" s="2" t="s">
        <v>6</v>
      </c>
    </row>
    <row r="11" customFormat="false" ht="30" hidden="false" customHeight="true" outlineLevel="0" collapsed="false">
      <c r="A11" s="2" t="s">
        <v>7</v>
      </c>
    </row>
    <row r="12" customFormat="false" ht="30" hidden="false" customHeight="true" outlineLevel="0" collapsed="false">
      <c r="A12" s="2" t="s">
        <v>8</v>
      </c>
    </row>
    <row r="13" customFormat="false" ht="30" hidden="false" customHeight="true" outlineLevel="0" collapsed="false">
      <c r="A13" s="2" t="s">
        <v>9</v>
      </c>
    </row>
    <row r="14" customFormat="false" ht="30" hidden="false" customHeight="true" outlineLevel="0" collapsed="false">
      <c r="A14" s="2" t="s">
        <v>10</v>
      </c>
    </row>
    <row r="15" customFormat="false" ht="15" hidden="false" customHeight="true" outlineLevel="0" collapsed="false">
      <c r="A15" s="2"/>
    </row>
    <row r="16" customFormat="false" ht="15" hidden="false" customHeight="true" outlineLevel="0" collapsed="false">
      <c r="A16" s="2" t="s">
        <v>11</v>
      </c>
    </row>
    <row r="17" customFormat="false" ht="30" hidden="false" customHeight="true" outlineLevel="0" collapsed="false">
      <c r="A17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9"/>
    <col collapsed="false" customWidth="true" hidden="false" outlineLevel="0" max="20" min="8" style="0" width="9"/>
  </cols>
  <sheetData>
    <row r="1" customFormat="false" ht="17.35" hidden="false" customHeight="false" outlineLevel="0" collapsed="false">
      <c r="A1" s="1" t="s">
        <v>13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45" hidden="false" customHeight="tru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15" hidden="false" customHeight="false" outlineLevel="0" collapsed="false">
      <c r="A4" s="5" t="s">
        <v>21</v>
      </c>
      <c r="B4" s="6" t="n">
        <v>11760</v>
      </c>
      <c r="C4" s="7" t="n">
        <f aca="false">10*SUMPRODUCT(($B$15:$T$15=$A4)*($B$16:$T$35))</f>
        <v>11760</v>
      </c>
      <c r="D4" s="7" t="n">
        <f aca="false">10*SUMPRODUCT(($B$15:$T$15=$A4)*($B$36:$T$55))</f>
        <v>13150</v>
      </c>
      <c r="E4" s="7" t="n">
        <f aca="false">C4+D4</f>
        <v>24910</v>
      </c>
      <c r="F4" s="7" t="n">
        <f aca="false">E4/10</f>
        <v>2491</v>
      </c>
      <c r="G4" s="7" t="n">
        <f aca="false">B4-C4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customFormat="false" ht="15" hidden="false" customHeight="false" outlineLevel="0" collapsed="false">
      <c r="A5" s="5" t="s">
        <v>22</v>
      </c>
      <c r="B5" s="6" t="n">
        <v>55500</v>
      </c>
      <c r="C5" s="7" t="n">
        <f aca="false">10*SUMPRODUCT(($B$15:$T$15=$A5)*($B$16:$T$35))</f>
        <v>55500</v>
      </c>
      <c r="D5" s="7" t="n">
        <f aca="false">10*SUMPRODUCT(($B$15:$T$15=$A5)*($B$36:$T$55))</f>
        <v>51800</v>
      </c>
      <c r="E5" s="7" t="n">
        <f aca="false">C5+D5</f>
        <v>107300</v>
      </c>
      <c r="F5" s="7" t="n">
        <f aca="false">E5/10</f>
        <v>10730</v>
      </c>
      <c r="G5" s="7" t="n">
        <f aca="false">B5-C5</f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customFormat="false" ht="15" hidden="false" customHeight="false" outlineLevel="0" collapsed="false">
      <c r="A7" s="8" t="s">
        <v>23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customFormat="false" ht="15" hidden="false" customHeight="false" outlineLevel="0" collapsed="false">
      <c r="A8" s="8" t="s">
        <v>24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customFormat="false" ht="15" hidden="false" customHeight="false" outlineLevel="0" collapsed="false">
      <c r="A10" s="5" t="s">
        <v>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customFormat="false" ht="15" hidden="false" customHeight="false" outlineLevel="0" collapsed="false">
      <c r="A11" s="3" t="s">
        <v>21</v>
      </c>
      <c r="B11" s="6" t="n">
        <v>34370</v>
      </c>
      <c r="C11" s="8" t="s">
        <v>26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customFormat="false" ht="15" hidden="false" customHeight="false" outlineLevel="0" collapsed="false">
      <c r="A12" s="3" t="s">
        <v>22</v>
      </c>
      <c r="B12" s="6" t="n">
        <v>248800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customFormat="false" ht="15" hidden="false" customHeight="false" outlineLevel="0" collapsed="false">
      <c r="A14" s="5" t="s">
        <v>27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customFormat="false" ht="84.75" hidden="false" customHeight="true" outlineLevel="0" collapsed="false">
      <c r="A15" s="5" t="s">
        <v>28</v>
      </c>
      <c r="B15" s="9" t="s">
        <v>22</v>
      </c>
      <c r="C15" s="9" t="s">
        <v>22</v>
      </c>
      <c r="D15" s="9" t="s">
        <v>22</v>
      </c>
      <c r="E15" s="9" t="s">
        <v>22</v>
      </c>
      <c r="F15" s="9" t="s">
        <v>22</v>
      </c>
      <c r="G15" s="9" t="s">
        <v>22</v>
      </c>
      <c r="H15" s="9" t="s">
        <v>22</v>
      </c>
      <c r="I15" s="9" t="s">
        <v>22</v>
      </c>
      <c r="J15" s="9" t="s">
        <v>22</v>
      </c>
      <c r="K15" s="9" t="s">
        <v>22</v>
      </c>
      <c r="L15" s="9" t="s">
        <v>22</v>
      </c>
      <c r="M15" s="9" t="s">
        <v>22</v>
      </c>
      <c r="N15" s="9" t="s">
        <v>22</v>
      </c>
      <c r="O15" s="9" t="s">
        <v>22</v>
      </c>
      <c r="P15" s="9" t="s">
        <v>22</v>
      </c>
      <c r="Q15" s="9" t="s">
        <v>21</v>
      </c>
      <c r="R15" s="9" t="s">
        <v>22</v>
      </c>
      <c r="S15" s="9" t="s">
        <v>21</v>
      </c>
      <c r="T15" s="9" t="s">
        <v>22</v>
      </c>
    </row>
    <row r="16" customFormat="false" ht="15" hidden="false" customHeight="false" outlineLevel="0" collapsed="false">
      <c r="A16" s="5" t="s">
        <v>29</v>
      </c>
      <c r="B16" s="10" t="n">
        <v>0</v>
      </c>
      <c r="C16" s="10" t="n">
        <v>18</v>
      </c>
      <c r="D16" s="10" t="n">
        <v>0</v>
      </c>
      <c r="E16" s="10" t="n">
        <v>0</v>
      </c>
      <c r="F16" s="10" t="n">
        <v>0</v>
      </c>
      <c r="G16" s="10" t="n">
        <v>8</v>
      </c>
      <c r="H16" s="10" t="n">
        <v>0</v>
      </c>
      <c r="I16" s="10" t="n">
        <v>5</v>
      </c>
      <c r="J16" s="10" t="n">
        <v>11</v>
      </c>
      <c r="K16" s="10" t="n">
        <v>0</v>
      </c>
      <c r="L16" s="10" t="n">
        <v>23</v>
      </c>
      <c r="M16" s="10" t="n">
        <v>9</v>
      </c>
      <c r="N16" s="10" t="n">
        <v>0</v>
      </c>
      <c r="O16" s="10" t="n">
        <v>40</v>
      </c>
      <c r="P16" s="10" t="n">
        <v>23</v>
      </c>
      <c r="Q16" s="10" t="n">
        <v>43</v>
      </c>
      <c r="R16" s="10" t="n">
        <v>54</v>
      </c>
      <c r="S16" s="10" t="n">
        <v>0</v>
      </c>
      <c r="T16" s="10" t="n">
        <v>8</v>
      </c>
    </row>
    <row r="17" customFormat="false" ht="15" hidden="false" customHeight="false" outlineLevel="0" collapsed="false">
      <c r="A17" s="5" t="s">
        <v>30</v>
      </c>
      <c r="B17" s="10" t="n">
        <v>16</v>
      </c>
      <c r="C17" s="10" t="n">
        <v>12</v>
      </c>
      <c r="D17" s="10" t="n">
        <v>33</v>
      </c>
      <c r="E17" s="10" t="n">
        <v>0</v>
      </c>
      <c r="F17" s="10" t="n">
        <v>26</v>
      </c>
      <c r="G17" s="10" t="n">
        <v>7</v>
      </c>
      <c r="H17" s="10" t="n">
        <v>8</v>
      </c>
      <c r="I17" s="10" t="n">
        <v>14</v>
      </c>
      <c r="J17" s="10" t="n">
        <v>5</v>
      </c>
      <c r="K17" s="10" t="n">
        <v>32</v>
      </c>
      <c r="L17" s="10" t="n">
        <v>17</v>
      </c>
      <c r="M17" s="10" t="n">
        <v>42</v>
      </c>
      <c r="N17" s="10" t="n">
        <v>18</v>
      </c>
      <c r="O17" s="10" t="n">
        <v>34</v>
      </c>
      <c r="P17" s="10" t="n">
        <v>28</v>
      </c>
      <c r="Q17" s="10" t="n">
        <v>24</v>
      </c>
      <c r="R17" s="10" t="n">
        <v>45</v>
      </c>
      <c r="S17" s="10" t="n">
        <v>20</v>
      </c>
      <c r="T17" s="10" t="n">
        <v>38</v>
      </c>
    </row>
    <row r="18" customFormat="false" ht="15" hidden="false" customHeight="false" outlineLevel="0" collapsed="false">
      <c r="A18" s="5" t="s">
        <v>31</v>
      </c>
      <c r="B18" s="10" t="n">
        <v>6</v>
      </c>
      <c r="C18" s="10" t="n">
        <v>18</v>
      </c>
      <c r="D18" s="10" t="n">
        <v>9</v>
      </c>
      <c r="E18" s="10" t="n">
        <v>11</v>
      </c>
      <c r="F18" s="10" t="n">
        <v>28</v>
      </c>
      <c r="G18" s="10" t="n">
        <v>3</v>
      </c>
      <c r="H18" s="10" t="n">
        <v>12</v>
      </c>
      <c r="I18" s="10" t="n">
        <v>11</v>
      </c>
      <c r="J18" s="10" t="n">
        <v>24</v>
      </c>
      <c r="K18" s="10" t="n">
        <v>23</v>
      </c>
      <c r="L18" s="10" t="n">
        <v>45</v>
      </c>
      <c r="M18" s="10" t="n">
        <v>10</v>
      </c>
      <c r="N18" s="10" t="n">
        <v>38</v>
      </c>
      <c r="O18" s="10" t="n">
        <v>3</v>
      </c>
      <c r="P18" s="10" t="n">
        <v>0</v>
      </c>
      <c r="Q18" s="10" t="n">
        <v>25</v>
      </c>
      <c r="R18" s="10" t="n">
        <v>49</v>
      </c>
      <c r="S18" s="10" t="n">
        <v>31</v>
      </c>
      <c r="T18" s="10" t="n">
        <v>25</v>
      </c>
    </row>
    <row r="19" customFormat="false" ht="15" hidden="false" customHeight="false" outlineLevel="0" collapsed="false">
      <c r="A19" s="5" t="s">
        <v>32</v>
      </c>
      <c r="B19" s="10" t="n">
        <v>18</v>
      </c>
      <c r="C19" s="10" t="n">
        <v>0</v>
      </c>
      <c r="D19" s="10" t="n">
        <v>10</v>
      </c>
      <c r="E19" s="10" t="n">
        <v>23</v>
      </c>
      <c r="F19" s="10" t="n">
        <v>9</v>
      </c>
      <c r="G19" s="10" t="n">
        <v>22</v>
      </c>
      <c r="H19" s="10" t="n">
        <v>0</v>
      </c>
      <c r="I19" s="10" t="n">
        <v>9</v>
      </c>
      <c r="J19" s="10" t="n">
        <v>20</v>
      </c>
      <c r="K19" s="10" t="n">
        <v>0</v>
      </c>
      <c r="L19" s="10" t="n">
        <v>8</v>
      </c>
      <c r="M19" s="10" t="n">
        <v>21</v>
      </c>
      <c r="N19" s="10" t="n">
        <v>10</v>
      </c>
      <c r="O19" s="10" t="n">
        <v>12</v>
      </c>
      <c r="P19" s="10" t="n">
        <v>0</v>
      </c>
      <c r="Q19" s="10" t="n">
        <v>36</v>
      </c>
      <c r="R19" s="10" t="n">
        <v>38</v>
      </c>
      <c r="S19" s="10" t="n">
        <v>31</v>
      </c>
      <c r="T19" s="10" t="n">
        <v>10</v>
      </c>
    </row>
    <row r="20" customFormat="false" ht="15" hidden="false" customHeight="false" outlineLevel="0" collapsed="false">
      <c r="A20" s="5" t="s">
        <v>33</v>
      </c>
      <c r="B20" s="10" t="n">
        <v>11</v>
      </c>
      <c r="C20" s="10" t="n">
        <v>11</v>
      </c>
      <c r="D20" s="10" t="n">
        <v>0</v>
      </c>
      <c r="E20" s="10" t="n">
        <v>15</v>
      </c>
      <c r="F20" s="10" t="n">
        <v>14</v>
      </c>
      <c r="G20" s="10" t="n">
        <v>9</v>
      </c>
      <c r="H20" s="10" t="n">
        <v>0</v>
      </c>
      <c r="I20" s="10" t="n">
        <v>15</v>
      </c>
      <c r="J20" s="10" t="n">
        <v>30</v>
      </c>
      <c r="K20" s="10" t="n">
        <v>34</v>
      </c>
      <c r="L20" s="10" t="n">
        <v>34</v>
      </c>
      <c r="M20" s="10" t="n">
        <v>30</v>
      </c>
      <c r="N20" s="10" t="n">
        <v>32</v>
      </c>
      <c r="O20" s="10" t="n">
        <v>16</v>
      </c>
      <c r="P20" s="10" t="n">
        <v>0</v>
      </c>
      <c r="Q20" s="10" t="n">
        <v>58</v>
      </c>
      <c r="R20" s="10" t="n">
        <v>18</v>
      </c>
      <c r="S20" s="10" t="n">
        <v>0</v>
      </c>
      <c r="T20" s="10" t="n">
        <v>0</v>
      </c>
    </row>
    <row r="21" customFormat="false" ht="15" hidden="false" customHeight="false" outlineLevel="0" collapsed="false">
      <c r="A21" s="5" t="s">
        <v>34</v>
      </c>
      <c r="B21" s="10" t="n">
        <v>12</v>
      </c>
      <c r="C21" s="10" t="n">
        <v>15</v>
      </c>
      <c r="D21" s="10" t="n">
        <v>8</v>
      </c>
      <c r="E21" s="10" t="n">
        <v>9</v>
      </c>
      <c r="F21" s="10" t="n">
        <v>18</v>
      </c>
      <c r="G21" s="10" t="n">
        <v>28</v>
      </c>
      <c r="H21" s="10" t="n">
        <v>0</v>
      </c>
      <c r="I21" s="10" t="n">
        <v>11</v>
      </c>
      <c r="J21" s="10" t="n">
        <v>10</v>
      </c>
      <c r="K21" s="10" t="n">
        <v>0</v>
      </c>
      <c r="L21" s="10" t="n">
        <v>11</v>
      </c>
      <c r="M21" s="10" t="n">
        <v>21</v>
      </c>
      <c r="N21" s="10" t="n">
        <v>8</v>
      </c>
      <c r="O21" s="10" t="n">
        <v>32</v>
      </c>
      <c r="P21" s="10" t="n">
        <v>7</v>
      </c>
      <c r="Q21" s="10" t="n">
        <v>91</v>
      </c>
      <c r="R21" s="10" t="n">
        <v>55</v>
      </c>
      <c r="S21" s="10" t="n">
        <v>16</v>
      </c>
      <c r="T21" s="10" t="n">
        <v>25</v>
      </c>
    </row>
    <row r="22" customFormat="false" ht="15" hidden="false" customHeight="false" outlineLevel="0" collapsed="false">
      <c r="A22" s="5" t="s">
        <v>35</v>
      </c>
      <c r="B22" s="10" t="n">
        <v>17</v>
      </c>
      <c r="C22" s="10" t="n">
        <v>0</v>
      </c>
      <c r="D22" s="10" t="n">
        <v>0</v>
      </c>
      <c r="E22" s="10" t="n">
        <v>35</v>
      </c>
      <c r="F22" s="10" t="n">
        <v>5</v>
      </c>
      <c r="G22" s="10" t="n">
        <v>3</v>
      </c>
      <c r="H22" s="10" t="n">
        <v>9</v>
      </c>
      <c r="I22" s="10" t="n">
        <v>18</v>
      </c>
      <c r="J22" s="10" t="n">
        <v>16</v>
      </c>
      <c r="K22" s="10" t="n">
        <v>20</v>
      </c>
      <c r="L22" s="10" t="n">
        <v>25</v>
      </c>
      <c r="M22" s="10" t="n">
        <v>11</v>
      </c>
      <c r="N22" s="10" t="n">
        <v>14</v>
      </c>
      <c r="O22" s="10" t="n">
        <v>0</v>
      </c>
      <c r="P22" s="10" t="n">
        <v>7</v>
      </c>
      <c r="Q22" s="10" t="n">
        <v>20</v>
      </c>
      <c r="R22" s="10" t="n">
        <v>20</v>
      </c>
      <c r="S22" s="10" t="n">
        <v>23</v>
      </c>
      <c r="T22" s="10" t="n">
        <v>13</v>
      </c>
    </row>
    <row r="23" customFormat="false" ht="15" hidden="false" customHeight="false" outlineLevel="0" collapsed="false">
      <c r="A23" s="5" t="s">
        <v>36</v>
      </c>
      <c r="B23" s="10" t="n">
        <v>17</v>
      </c>
      <c r="C23" s="10" t="n">
        <v>14</v>
      </c>
      <c r="D23" s="10" t="n">
        <v>0</v>
      </c>
      <c r="E23" s="10" t="n">
        <v>11</v>
      </c>
      <c r="F23" s="10" t="n">
        <v>0</v>
      </c>
      <c r="G23" s="10" t="n">
        <v>21</v>
      </c>
      <c r="H23" s="10" t="n">
        <v>6</v>
      </c>
      <c r="I23" s="10" t="n">
        <v>0</v>
      </c>
      <c r="J23" s="10" t="n">
        <v>16</v>
      </c>
      <c r="K23" s="10" t="n">
        <v>0</v>
      </c>
      <c r="L23" s="10" t="n">
        <v>17</v>
      </c>
      <c r="M23" s="10" t="n">
        <v>35</v>
      </c>
      <c r="N23" s="10" t="n">
        <v>34</v>
      </c>
      <c r="O23" s="10" t="n">
        <v>8</v>
      </c>
      <c r="P23" s="10" t="n">
        <v>7</v>
      </c>
      <c r="Q23" s="10" t="n">
        <v>60</v>
      </c>
      <c r="R23" s="10" t="n">
        <v>47</v>
      </c>
      <c r="S23" s="10" t="n">
        <v>34</v>
      </c>
      <c r="T23" s="10" t="n">
        <v>4</v>
      </c>
    </row>
    <row r="24" customFormat="false" ht="15" hidden="false" customHeight="false" outlineLevel="0" collapsed="false">
      <c r="A24" s="5" t="s">
        <v>37</v>
      </c>
      <c r="B24" s="10" t="n">
        <v>14</v>
      </c>
      <c r="C24" s="10" t="n">
        <v>26</v>
      </c>
      <c r="D24" s="10" t="n">
        <v>0</v>
      </c>
      <c r="E24" s="10" t="n">
        <v>15</v>
      </c>
      <c r="F24" s="10" t="n">
        <v>24</v>
      </c>
      <c r="G24" s="10" t="n">
        <v>8</v>
      </c>
      <c r="H24" s="10" t="n">
        <v>0</v>
      </c>
      <c r="I24" s="10" t="n">
        <v>18</v>
      </c>
      <c r="J24" s="10" t="n">
        <v>8</v>
      </c>
      <c r="K24" s="10" t="n">
        <v>14</v>
      </c>
      <c r="L24" s="10" t="n">
        <v>34</v>
      </c>
      <c r="M24" s="10" t="n">
        <v>0</v>
      </c>
      <c r="N24" s="10" t="n">
        <v>12</v>
      </c>
      <c r="O24" s="10" t="n">
        <v>13</v>
      </c>
      <c r="P24" s="10" t="n">
        <v>21</v>
      </c>
      <c r="Q24" s="10" t="n">
        <v>36</v>
      </c>
      <c r="R24" s="10" t="n">
        <v>49</v>
      </c>
      <c r="S24" s="10" t="n">
        <v>16</v>
      </c>
      <c r="T24" s="10" t="n">
        <v>10</v>
      </c>
    </row>
    <row r="25" customFormat="false" ht="15" hidden="false" customHeight="false" outlineLevel="0" collapsed="false">
      <c r="A25" s="5" t="s">
        <v>38</v>
      </c>
      <c r="B25" s="10" t="n">
        <v>10</v>
      </c>
      <c r="C25" s="10" t="n">
        <v>7</v>
      </c>
      <c r="D25" s="10" t="n">
        <v>0</v>
      </c>
      <c r="E25" s="10" t="n">
        <v>19</v>
      </c>
      <c r="F25" s="10" t="n">
        <v>14</v>
      </c>
      <c r="G25" s="10" t="n">
        <v>6</v>
      </c>
      <c r="H25" s="10" t="n">
        <v>7</v>
      </c>
      <c r="I25" s="10" t="n">
        <v>9</v>
      </c>
      <c r="J25" s="10" t="n">
        <v>17</v>
      </c>
      <c r="K25" s="10" t="n">
        <v>20</v>
      </c>
      <c r="L25" s="10" t="n">
        <v>32</v>
      </c>
      <c r="M25" s="10" t="n">
        <v>20</v>
      </c>
      <c r="N25" s="10" t="n">
        <v>21</v>
      </c>
      <c r="O25" s="10" t="n">
        <v>27</v>
      </c>
      <c r="P25" s="10" t="n">
        <v>0</v>
      </c>
      <c r="Q25" s="10" t="n">
        <v>65</v>
      </c>
      <c r="R25" s="10" t="n">
        <v>43</v>
      </c>
      <c r="S25" s="10" t="n">
        <v>7</v>
      </c>
      <c r="T25" s="10" t="n">
        <v>12</v>
      </c>
    </row>
    <row r="26" customFormat="false" ht="15" hidden="false" customHeight="false" outlineLevel="0" collapsed="false">
      <c r="A26" s="5" t="s">
        <v>39</v>
      </c>
      <c r="B26" s="10" t="n">
        <v>12</v>
      </c>
      <c r="C26" s="10" t="n">
        <v>17</v>
      </c>
      <c r="D26" s="10" t="n">
        <v>0</v>
      </c>
      <c r="E26" s="10" t="n">
        <v>46</v>
      </c>
      <c r="F26" s="10" t="n">
        <v>0</v>
      </c>
      <c r="G26" s="10" t="n">
        <v>10</v>
      </c>
      <c r="H26" s="10" t="n">
        <v>10</v>
      </c>
      <c r="I26" s="10" t="n">
        <v>9</v>
      </c>
      <c r="J26" s="10" t="n">
        <v>6</v>
      </c>
      <c r="K26" s="10" t="n">
        <v>18</v>
      </c>
      <c r="L26" s="10" t="n">
        <v>24</v>
      </c>
      <c r="M26" s="10" t="n">
        <v>6</v>
      </c>
      <c r="N26" s="10" t="n">
        <v>42</v>
      </c>
      <c r="O26" s="10" t="n">
        <v>34</v>
      </c>
      <c r="P26" s="10" t="n">
        <v>8</v>
      </c>
      <c r="Q26" s="10" t="n">
        <v>13</v>
      </c>
      <c r="R26" s="10" t="n">
        <v>36</v>
      </c>
      <c r="S26" s="10" t="n">
        <v>53</v>
      </c>
      <c r="T26" s="10" t="n">
        <v>34</v>
      </c>
    </row>
    <row r="27" customFormat="false" ht="15" hidden="false" customHeight="false" outlineLevel="0" collapsed="false">
      <c r="A27" s="5" t="s">
        <v>40</v>
      </c>
      <c r="B27" s="10" t="n">
        <v>19</v>
      </c>
      <c r="C27" s="10" t="n">
        <v>6</v>
      </c>
      <c r="D27" s="10" t="n">
        <v>0</v>
      </c>
      <c r="E27" s="10" t="n">
        <v>26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4</v>
      </c>
      <c r="L27" s="10" t="n">
        <v>32</v>
      </c>
      <c r="M27" s="10" t="n">
        <v>7</v>
      </c>
      <c r="N27" s="10" t="n">
        <v>53</v>
      </c>
      <c r="O27" s="10" t="n">
        <v>37</v>
      </c>
      <c r="P27" s="10" t="n">
        <v>28</v>
      </c>
      <c r="Q27" s="10" t="n">
        <v>31</v>
      </c>
      <c r="R27" s="10" t="n">
        <v>55</v>
      </c>
      <c r="S27" s="10" t="n">
        <v>23</v>
      </c>
      <c r="T27" s="10" t="n">
        <v>19</v>
      </c>
    </row>
    <row r="28" customFormat="false" ht="15" hidden="false" customHeight="false" outlineLevel="0" collapsed="false">
      <c r="A28" s="5" t="s">
        <v>41</v>
      </c>
      <c r="B28" s="10" t="n">
        <v>15</v>
      </c>
      <c r="C28" s="10" t="n">
        <v>12</v>
      </c>
      <c r="D28" s="10" t="n">
        <v>0</v>
      </c>
      <c r="E28" s="10" t="n">
        <v>44</v>
      </c>
      <c r="F28" s="10" t="n">
        <v>0</v>
      </c>
      <c r="G28" s="10" t="n">
        <v>9</v>
      </c>
      <c r="H28" s="10" t="n">
        <v>0</v>
      </c>
      <c r="I28" s="10" t="n">
        <v>27</v>
      </c>
      <c r="J28" s="10" t="n">
        <v>0</v>
      </c>
      <c r="K28" s="10" t="n">
        <v>7</v>
      </c>
      <c r="L28" s="10" t="n">
        <v>16</v>
      </c>
      <c r="M28" s="10" t="n">
        <v>23</v>
      </c>
      <c r="N28" s="10" t="n">
        <v>43</v>
      </c>
      <c r="O28" s="10" t="n">
        <v>33</v>
      </c>
      <c r="P28" s="10" t="n">
        <v>11</v>
      </c>
      <c r="Q28" s="10" t="n">
        <v>50</v>
      </c>
      <c r="R28" s="10" t="n">
        <v>26</v>
      </c>
      <c r="S28" s="10" t="n">
        <v>23</v>
      </c>
      <c r="T28" s="10" t="n">
        <v>25</v>
      </c>
    </row>
    <row r="29" customFormat="false" ht="15" hidden="false" customHeight="false" outlineLevel="0" collapsed="false">
      <c r="A29" s="5" t="s">
        <v>42</v>
      </c>
      <c r="B29" s="10" t="n">
        <v>21</v>
      </c>
      <c r="C29" s="10" t="n">
        <v>4</v>
      </c>
      <c r="D29" s="10" t="n">
        <v>0</v>
      </c>
      <c r="E29" s="10" t="n">
        <v>52</v>
      </c>
      <c r="F29" s="10" t="n">
        <v>0</v>
      </c>
      <c r="G29" s="10" t="n">
        <v>0</v>
      </c>
      <c r="H29" s="10" t="n">
        <v>8</v>
      </c>
      <c r="I29" s="10" t="n">
        <v>16</v>
      </c>
      <c r="J29" s="10" t="n">
        <v>0</v>
      </c>
      <c r="K29" s="10" t="n">
        <v>15</v>
      </c>
      <c r="L29" s="10" t="n">
        <v>17</v>
      </c>
      <c r="M29" s="10" t="n">
        <v>27</v>
      </c>
      <c r="N29" s="10" t="n">
        <v>44</v>
      </c>
      <c r="O29" s="10" t="n">
        <v>25</v>
      </c>
      <c r="P29" s="10" t="n">
        <v>31</v>
      </c>
      <c r="Q29" s="10" t="n">
        <v>56</v>
      </c>
      <c r="R29" s="10" t="n">
        <v>52</v>
      </c>
      <c r="S29" s="10" t="n">
        <v>7</v>
      </c>
      <c r="T29" s="10" t="n">
        <v>20</v>
      </c>
    </row>
    <row r="30" customFormat="false" ht="15" hidden="false" customHeight="false" outlineLevel="0" collapsed="false">
      <c r="A30" s="5" t="s">
        <v>43</v>
      </c>
      <c r="B30" s="10" t="n">
        <v>16</v>
      </c>
      <c r="C30" s="10" t="n">
        <v>9</v>
      </c>
      <c r="D30" s="10" t="n">
        <v>0</v>
      </c>
      <c r="E30" s="10" t="n">
        <v>0</v>
      </c>
      <c r="F30" s="10" t="n">
        <v>8</v>
      </c>
      <c r="G30" s="10" t="n">
        <v>0</v>
      </c>
      <c r="H30" s="10" t="n">
        <v>11</v>
      </c>
      <c r="I30" s="10" t="n">
        <v>0</v>
      </c>
      <c r="J30" s="10" t="n">
        <v>10</v>
      </c>
      <c r="K30" s="10" t="n">
        <v>5</v>
      </c>
      <c r="L30" s="10" t="n">
        <v>61</v>
      </c>
      <c r="M30" s="10" t="n">
        <v>32</v>
      </c>
      <c r="N30" s="10" t="n">
        <v>12</v>
      </c>
      <c r="O30" s="10" t="n">
        <v>43</v>
      </c>
      <c r="P30" s="10" t="n">
        <v>0</v>
      </c>
      <c r="Q30" s="10" t="n">
        <v>54</v>
      </c>
      <c r="R30" s="10" t="n">
        <v>40</v>
      </c>
      <c r="S30" s="10" t="n">
        <v>18</v>
      </c>
      <c r="T30" s="10" t="n">
        <v>20</v>
      </c>
    </row>
    <row r="31" customFormat="false" ht="15" hidden="false" customHeight="false" outlineLevel="0" collapsed="false">
      <c r="A31" s="5" t="s">
        <v>44</v>
      </c>
      <c r="B31" s="10" t="n">
        <v>0</v>
      </c>
      <c r="C31" s="10" t="n">
        <v>8</v>
      </c>
      <c r="D31" s="10" t="n">
        <v>0</v>
      </c>
      <c r="E31" s="10" t="n">
        <v>24</v>
      </c>
      <c r="F31" s="10" t="n">
        <v>18</v>
      </c>
      <c r="G31" s="10" t="n">
        <v>0</v>
      </c>
      <c r="H31" s="10" t="n">
        <v>7</v>
      </c>
      <c r="I31" s="10" t="n">
        <v>4</v>
      </c>
      <c r="J31" s="10" t="n">
        <v>18</v>
      </c>
      <c r="K31" s="10" t="n">
        <v>17</v>
      </c>
      <c r="L31" s="10" t="n">
        <v>48</v>
      </c>
      <c r="M31" s="10" t="n">
        <v>13</v>
      </c>
      <c r="N31" s="10" t="n">
        <v>42</v>
      </c>
      <c r="O31" s="10" t="n">
        <v>29</v>
      </c>
      <c r="P31" s="10" t="n">
        <v>26</v>
      </c>
      <c r="Q31" s="10" t="n">
        <v>13</v>
      </c>
      <c r="R31" s="10" t="n">
        <v>45</v>
      </c>
      <c r="S31" s="10" t="n">
        <v>20</v>
      </c>
      <c r="T31" s="10" t="n">
        <v>20</v>
      </c>
    </row>
    <row r="32" customFormat="false" ht="15" hidden="false" customHeight="false" outlineLevel="0" collapsed="false">
      <c r="A32" s="5" t="s">
        <v>45</v>
      </c>
      <c r="B32" s="10" t="n">
        <v>14</v>
      </c>
      <c r="C32" s="10" t="n">
        <v>7</v>
      </c>
      <c r="D32" s="10" t="n">
        <v>10</v>
      </c>
      <c r="E32" s="10" t="n">
        <v>0</v>
      </c>
      <c r="F32" s="10" t="n">
        <v>7</v>
      </c>
      <c r="G32" s="10" t="n">
        <v>7</v>
      </c>
      <c r="H32" s="10" t="n">
        <v>9</v>
      </c>
      <c r="I32" s="10" t="n">
        <v>0</v>
      </c>
      <c r="J32" s="10" t="n">
        <v>8</v>
      </c>
      <c r="K32" s="10" t="n">
        <v>20</v>
      </c>
      <c r="L32" s="10" t="n">
        <v>9</v>
      </c>
      <c r="M32" s="10" t="n">
        <v>26</v>
      </c>
      <c r="N32" s="10" t="n">
        <v>48</v>
      </c>
      <c r="O32" s="10" t="n">
        <v>22</v>
      </c>
      <c r="P32" s="10" t="n">
        <v>26</v>
      </c>
      <c r="Q32" s="10" t="n">
        <v>14</v>
      </c>
      <c r="R32" s="10" t="n">
        <v>16</v>
      </c>
      <c r="S32" s="10" t="n">
        <v>14</v>
      </c>
      <c r="T32" s="10" t="n">
        <v>17</v>
      </c>
    </row>
    <row r="33" customFormat="false" ht="15" hidden="false" customHeight="false" outlineLevel="0" collapsed="false">
      <c r="A33" s="5" t="s">
        <v>46</v>
      </c>
      <c r="B33" s="10" t="n">
        <v>15</v>
      </c>
      <c r="C33" s="10" t="n">
        <v>7</v>
      </c>
      <c r="D33" s="10" t="n">
        <v>0</v>
      </c>
      <c r="E33" s="10" t="n">
        <v>20</v>
      </c>
      <c r="F33" s="10" t="n">
        <v>4</v>
      </c>
      <c r="G33" s="10" t="n">
        <v>11</v>
      </c>
      <c r="H33" s="10" t="n">
        <v>7</v>
      </c>
      <c r="I33" s="10" t="n">
        <v>28</v>
      </c>
      <c r="J33" s="10" t="n">
        <v>17</v>
      </c>
      <c r="K33" s="10" t="n">
        <v>0</v>
      </c>
      <c r="L33" s="10" t="n">
        <v>42</v>
      </c>
      <c r="M33" s="10" t="n">
        <v>25</v>
      </c>
      <c r="N33" s="10" t="n">
        <v>30</v>
      </c>
      <c r="O33" s="10" t="n">
        <v>16</v>
      </c>
      <c r="P33" s="10" t="n">
        <v>6</v>
      </c>
      <c r="Q33" s="10" t="n">
        <v>56</v>
      </c>
      <c r="R33" s="10" t="n">
        <v>41</v>
      </c>
      <c r="S33" s="10" t="n">
        <v>35</v>
      </c>
      <c r="T33" s="10" t="n">
        <v>31</v>
      </c>
    </row>
    <row r="34" customFormat="false" ht="15" hidden="false" customHeight="false" outlineLevel="0" collapsed="false">
      <c r="A34" s="5" t="s">
        <v>47</v>
      </c>
      <c r="B34" s="10" t="n">
        <v>6</v>
      </c>
      <c r="C34" s="10" t="n">
        <v>21</v>
      </c>
      <c r="D34" s="10" t="n">
        <v>46</v>
      </c>
      <c r="E34" s="10" t="n">
        <v>13</v>
      </c>
      <c r="F34" s="10" t="n">
        <v>38</v>
      </c>
      <c r="G34" s="10" t="n">
        <v>0</v>
      </c>
      <c r="H34" s="10" t="n">
        <v>0</v>
      </c>
      <c r="I34" s="10" t="n">
        <v>13</v>
      </c>
      <c r="J34" s="10" t="n">
        <v>0</v>
      </c>
      <c r="K34" s="10" t="n">
        <v>10</v>
      </c>
      <c r="L34" s="10" t="n">
        <v>15</v>
      </c>
      <c r="M34" s="10" t="n">
        <v>17</v>
      </c>
      <c r="N34" s="10" t="n">
        <v>21</v>
      </c>
      <c r="O34" s="10" t="n">
        <v>19</v>
      </c>
      <c r="P34" s="10" t="n">
        <v>17</v>
      </c>
      <c r="Q34" s="10" t="n">
        <v>24</v>
      </c>
      <c r="R34" s="10" t="n">
        <v>43</v>
      </c>
      <c r="S34" s="10" t="n">
        <v>0</v>
      </c>
      <c r="T34" s="10" t="n">
        <v>21</v>
      </c>
    </row>
    <row r="35" customFormat="false" ht="15" hidden="false" customHeight="false" outlineLevel="0" collapsed="false">
      <c r="A35" s="5" t="s">
        <v>48</v>
      </c>
      <c r="B35" s="10" t="n">
        <v>7</v>
      </c>
      <c r="C35" s="10" t="n">
        <v>0</v>
      </c>
      <c r="D35" s="10" t="n">
        <v>46</v>
      </c>
      <c r="E35" s="10" t="n">
        <v>29</v>
      </c>
      <c r="F35" s="10" t="n">
        <v>0</v>
      </c>
      <c r="G35" s="10" t="n">
        <v>23</v>
      </c>
      <c r="H35" s="10" t="n">
        <v>0</v>
      </c>
      <c r="I35" s="10" t="n">
        <v>0</v>
      </c>
      <c r="J35" s="10" t="n">
        <v>27</v>
      </c>
      <c r="K35" s="10" t="n">
        <v>6</v>
      </c>
      <c r="L35" s="10" t="n">
        <v>22</v>
      </c>
      <c r="M35" s="10" t="n">
        <v>15</v>
      </c>
      <c r="N35" s="10" t="n">
        <v>38</v>
      </c>
      <c r="O35" s="10" t="n">
        <v>27</v>
      </c>
      <c r="P35" s="10" t="n">
        <v>17</v>
      </c>
      <c r="Q35" s="10" t="n">
        <v>22</v>
      </c>
      <c r="R35" s="10" t="n">
        <v>16</v>
      </c>
      <c r="S35" s="10" t="n">
        <v>14</v>
      </c>
      <c r="T35" s="10" t="n">
        <v>6</v>
      </c>
    </row>
    <row r="36" customFormat="false" ht="15" hidden="false" customHeight="false" outlineLevel="0" collapsed="false">
      <c r="A36" s="5" t="s">
        <v>49</v>
      </c>
      <c r="B36" s="10" t="n">
        <v>11</v>
      </c>
      <c r="C36" s="10" t="n">
        <v>22</v>
      </c>
      <c r="D36" s="10" t="n">
        <v>17</v>
      </c>
      <c r="E36" s="10" t="n">
        <v>10</v>
      </c>
      <c r="F36" s="10" t="n">
        <v>12</v>
      </c>
      <c r="G36" s="10" t="n">
        <v>11</v>
      </c>
      <c r="H36" s="10" t="n">
        <v>6</v>
      </c>
      <c r="I36" s="10" t="n">
        <v>19</v>
      </c>
      <c r="J36" s="10" t="n">
        <v>6</v>
      </c>
      <c r="K36" s="10" t="n">
        <v>21</v>
      </c>
      <c r="L36" s="10" t="n">
        <v>24</v>
      </c>
      <c r="M36" s="10" t="n">
        <v>34</v>
      </c>
      <c r="N36" s="10" t="n">
        <v>24</v>
      </c>
      <c r="O36" s="10" t="n">
        <v>13</v>
      </c>
      <c r="P36" s="10" t="n">
        <v>0</v>
      </c>
      <c r="Q36" s="10" t="n">
        <v>39</v>
      </c>
      <c r="R36" s="10" t="n">
        <v>6</v>
      </c>
      <c r="S36" s="10" t="n">
        <v>43</v>
      </c>
      <c r="T36" s="10" t="n">
        <v>17</v>
      </c>
    </row>
    <row r="37" customFormat="false" ht="15" hidden="false" customHeight="false" outlineLevel="0" collapsed="false">
      <c r="A37" s="5" t="s">
        <v>50</v>
      </c>
      <c r="B37" s="10" t="n">
        <v>5</v>
      </c>
      <c r="C37" s="10" t="n">
        <v>10</v>
      </c>
      <c r="D37" s="10" t="n">
        <v>0</v>
      </c>
      <c r="E37" s="10" t="n">
        <v>20</v>
      </c>
      <c r="F37" s="10" t="n">
        <v>14</v>
      </c>
      <c r="G37" s="10" t="n">
        <v>6</v>
      </c>
      <c r="H37" s="10" t="n">
        <v>0</v>
      </c>
      <c r="I37" s="10" t="n">
        <v>17</v>
      </c>
      <c r="J37" s="10" t="n">
        <v>6</v>
      </c>
      <c r="K37" s="10" t="n">
        <v>29</v>
      </c>
      <c r="L37" s="10" t="n">
        <v>36</v>
      </c>
      <c r="M37" s="10" t="n">
        <v>2</v>
      </c>
      <c r="N37" s="10" t="n">
        <v>28</v>
      </c>
      <c r="O37" s="10" t="n">
        <v>46</v>
      </c>
      <c r="P37" s="10" t="n">
        <v>17</v>
      </c>
      <c r="Q37" s="10" t="n">
        <v>24</v>
      </c>
      <c r="R37" s="10" t="n">
        <v>37</v>
      </c>
      <c r="S37" s="10" t="n">
        <v>18</v>
      </c>
      <c r="T37" s="10" t="n">
        <v>24</v>
      </c>
    </row>
    <row r="38" customFormat="false" ht="15" hidden="false" customHeight="false" outlineLevel="0" collapsed="false">
      <c r="A38" s="5" t="s">
        <v>51</v>
      </c>
      <c r="B38" s="10" t="n">
        <v>0</v>
      </c>
      <c r="C38" s="10" t="n">
        <v>14</v>
      </c>
      <c r="D38" s="10" t="n">
        <v>0</v>
      </c>
      <c r="E38" s="10" t="n">
        <v>0</v>
      </c>
      <c r="F38" s="10" t="n">
        <v>0</v>
      </c>
      <c r="G38" s="10" t="n">
        <v>0</v>
      </c>
      <c r="H38" s="10" t="n">
        <v>0</v>
      </c>
      <c r="I38" s="10" t="n">
        <v>10</v>
      </c>
      <c r="J38" s="10" t="n">
        <v>7</v>
      </c>
      <c r="K38" s="10" t="n">
        <v>15</v>
      </c>
      <c r="L38" s="10" t="n">
        <v>22</v>
      </c>
      <c r="M38" s="10" t="n">
        <v>15</v>
      </c>
      <c r="N38" s="10" t="n">
        <v>0</v>
      </c>
      <c r="O38" s="10" t="n">
        <v>22</v>
      </c>
      <c r="P38" s="10" t="n">
        <v>5</v>
      </c>
      <c r="Q38" s="10" t="n">
        <v>23</v>
      </c>
      <c r="R38" s="10" t="n">
        <v>33</v>
      </c>
      <c r="S38" s="10" t="n">
        <v>28</v>
      </c>
      <c r="T38" s="10" t="n">
        <v>30</v>
      </c>
    </row>
    <row r="39" customFormat="false" ht="15" hidden="false" customHeight="false" outlineLevel="0" collapsed="false">
      <c r="A39" s="5" t="s">
        <v>52</v>
      </c>
      <c r="B39" s="10" t="n">
        <v>4</v>
      </c>
      <c r="C39" s="10" t="n">
        <v>5</v>
      </c>
      <c r="D39" s="10" t="n">
        <v>0</v>
      </c>
      <c r="E39" s="10" t="n">
        <v>12</v>
      </c>
      <c r="F39" s="10" t="n">
        <v>0</v>
      </c>
      <c r="G39" s="10" t="n">
        <v>0</v>
      </c>
      <c r="H39" s="10" t="n">
        <v>5</v>
      </c>
      <c r="I39" s="10" t="n">
        <v>4</v>
      </c>
      <c r="J39" s="10" t="n">
        <v>0</v>
      </c>
      <c r="K39" s="10" t="n">
        <v>4</v>
      </c>
      <c r="L39" s="10" t="n">
        <v>46</v>
      </c>
      <c r="M39" s="10" t="n">
        <v>31</v>
      </c>
      <c r="N39" s="10" t="n">
        <v>25</v>
      </c>
      <c r="O39" s="10" t="n">
        <v>30</v>
      </c>
      <c r="P39" s="10" t="n">
        <v>20</v>
      </c>
      <c r="Q39" s="10" t="n">
        <v>41</v>
      </c>
      <c r="R39" s="10" t="n">
        <v>39</v>
      </c>
      <c r="S39" s="10" t="n">
        <v>17</v>
      </c>
      <c r="T39" s="10" t="n">
        <v>8</v>
      </c>
    </row>
    <row r="40" customFormat="false" ht="15" hidden="false" customHeight="false" outlineLevel="0" collapsed="false">
      <c r="A40" s="5" t="s">
        <v>53</v>
      </c>
      <c r="B40" s="10" t="n">
        <v>4</v>
      </c>
      <c r="C40" s="10" t="n">
        <v>27</v>
      </c>
      <c r="D40" s="10" t="n">
        <v>0</v>
      </c>
      <c r="E40" s="10" t="n">
        <v>18</v>
      </c>
      <c r="F40" s="10" t="n">
        <v>37</v>
      </c>
      <c r="G40" s="10" t="n">
        <v>4</v>
      </c>
      <c r="H40" s="10" t="n">
        <v>14</v>
      </c>
      <c r="I40" s="10" t="n">
        <v>9</v>
      </c>
      <c r="J40" s="10" t="n">
        <v>17</v>
      </c>
      <c r="K40" s="10" t="n">
        <v>0</v>
      </c>
      <c r="L40" s="10" t="n">
        <v>0</v>
      </c>
      <c r="M40" s="10" t="n">
        <v>13</v>
      </c>
      <c r="N40" s="10" t="n">
        <v>0</v>
      </c>
      <c r="O40" s="10" t="n">
        <v>16</v>
      </c>
      <c r="P40" s="10" t="n">
        <v>7</v>
      </c>
      <c r="Q40" s="10" t="n">
        <v>36</v>
      </c>
      <c r="R40" s="10" t="n">
        <v>40</v>
      </c>
      <c r="S40" s="10" t="n">
        <v>34</v>
      </c>
      <c r="T40" s="10" t="n">
        <v>24</v>
      </c>
    </row>
    <row r="41" customFormat="false" ht="15" hidden="false" customHeight="false" outlineLevel="0" collapsed="false">
      <c r="A41" s="5" t="s">
        <v>54</v>
      </c>
      <c r="B41" s="10" t="n">
        <v>10</v>
      </c>
      <c r="C41" s="10" t="n">
        <v>8</v>
      </c>
      <c r="D41" s="10" t="n">
        <v>19</v>
      </c>
      <c r="E41" s="10" t="n">
        <v>25</v>
      </c>
      <c r="F41" s="10" t="n">
        <v>6</v>
      </c>
      <c r="G41" s="10" t="n">
        <v>23</v>
      </c>
      <c r="H41" s="10" t="n">
        <v>14</v>
      </c>
      <c r="I41" s="10" t="n">
        <v>9</v>
      </c>
      <c r="J41" s="10" t="n">
        <v>0</v>
      </c>
      <c r="K41" s="10" t="n">
        <v>8</v>
      </c>
      <c r="L41" s="10" t="n">
        <v>13</v>
      </c>
      <c r="M41" s="10" t="n">
        <v>5</v>
      </c>
      <c r="N41" s="10" t="n">
        <v>0</v>
      </c>
      <c r="O41" s="10" t="n">
        <v>40</v>
      </c>
      <c r="P41" s="10" t="n">
        <v>11</v>
      </c>
      <c r="Q41" s="10" t="n">
        <v>39</v>
      </c>
      <c r="R41" s="10" t="n">
        <v>30</v>
      </c>
      <c r="S41" s="10" t="n">
        <v>7</v>
      </c>
      <c r="T41" s="10" t="n">
        <v>6</v>
      </c>
    </row>
    <row r="42" customFormat="false" ht="15" hidden="false" customHeight="false" outlineLevel="0" collapsed="false">
      <c r="A42" s="5" t="s">
        <v>55</v>
      </c>
      <c r="B42" s="10" t="n">
        <v>9</v>
      </c>
      <c r="C42" s="10" t="n">
        <v>34</v>
      </c>
      <c r="D42" s="10" t="n">
        <v>0</v>
      </c>
      <c r="E42" s="10" t="n">
        <v>0</v>
      </c>
      <c r="F42" s="10" t="n">
        <v>23</v>
      </c>
      <c r="G42" s="10" t="n">
        <v>13</v>
      </c>
      <c r="H42" s="10" t="n">
        <v>5</v>
      </c>
      <c r="I42" s="10" t="n">
        <v>0</v>
      </c>
      <c r="J42" s="10" t="n">
        <v>25</v>
      </c>
      <c r="K42" s="10" t="n">
        <v>7</v>
      </c>
      <c r="L42" s="10" t="n">
        <v>23</v>
      </c>
      <c r="M42" s="10" t="n">
        <v>15</v>
      </c>
      <c r="N42" s="10" t="n">
        <v>23</v>
      </c>
      <c r="O42" s="10" t="n">
        <v>21</v>
      </c>
      <c r="P42" s="10" t="n">
        <v>6</v>
      </c>
      <c r="Q42" s="10" t="n">
        <v>72</v>
      </c>
      <c r="R42" s="10" t="n">
        <v>47</v>
      </c>
      <c r="S42" s="10" t="n">
        <v>0</v>
      </c>
      <c r="T42" s="10" t="n">
        <v>25</v>
      </c>
    </row>
    <row r="43" customFormat="false" ht="15" hidden="false" customHeight="false" outlineLevel="0" collapsed="false">
      <c r="A43" s="5" t="s">
        <v>56</v>
      </c>
      <c r="B43" s="10" t="n">
        <v>0</v>
      </c>
      <c r="C43" s="10" t="n">
        <v>0</v>
      </c>
      <c r="D43" s="10" t="n">
        <v>0</v>
      </c>
      <c r="E43" s="10" t="n">
        <v>28</v>
      </c>
      <c r="F43" s="10" t="n">
        <v>4</v>
      </c>
      <c r="G43" s="10" t="n">
        <v>33</v>
      </c>
      <c r="H43" s="10" t="n">
        <v>14</v>
      </c>
      <c r="I43" s="10" t="n">
        <v>4</v>
      </c>
      <c r="J43" s="10" t="n">
        <v>9</v>
      </c>
      <c r="K43" s="10" t="n">
        <v>8</v>
      </c>
      <c r="L43" s="10" t="n">
        <v>42</v>
      </c>
      <c r="M43" s="10" t="n">
        <v>18</v>
      </c>
      <c r="N43" s="10" t="n">
        <v>17</v>
      </c>
      <c r="O43" s="10" t="n">
        <v>22</v>
      </c>
      <c r="P43" s="10" t="n">
        <v>7</v>
      </c>
      <c r="Q43" s="10" t="n">
        <v>64</v>
      </c>
      <c r="R43" s="10" t="n">
        <v>24</v>
      </c>
      <c r="S43" s="10" t="n">
        <v>19</v>
      </c>
      <c r="T43" s="10" t="n">
        <v>25</v>
      </c>
    </row>
    <row r="44" customFormat="false" ht="15" hidden="false" customHeight="false" outlineLevel="0" collapsed="false">
      <c r="A44" s="5" t="s">
        <v>57</v>
      </c>
      <c r="B44" s="10" t="n">
        <v>0</v>
      </c>
      <c r="C44" s="10" t="n">
        <v>10</v>
      </c>
      <c r="D44" s="10" t="n">
        <v>0</v>
      </c>
      <c r="E44" s="10" t="n">
        <v>0</v>
      </c>
      <c r="F44" s="10" t="n">
        <v>7</v>
      </c>
      <c r="G44" s="10" t="n">
        <v>0</v>
      </c>
      <c r="H44" s="10" t="n">
        <v>0</v>
      </c>
      <c r="I44" s="10" t="n">
        <v>9</v>
      </c>
      <c r="J44" s="10" t="n">
        <v>0</v>
      </c>
      <c r="K44" s="10" t="n">
        <v>9</v>
      </c>
      <c r="L44" s="10" t="n">
        <v>14</v>
      </c>
      <c r="M44" s="10" t="n">
        <v>15</v>
      </c>
      <c r="N44" s="10" t="n">
        <v>35</v>
      </c>
      <c r="O44" s="10" t="n">
        <v>18</v>
      </c>
      <c r="P44" s="10" t="n">
        <v>11</v>
      </c>
      <c r="Q44" s="10" t="n">
        <v>5</v>
      </c>
      <c r="R44" s="10" t="n">
        <v>36</v>
      </c>
      <c r="S44" s="10" t="n">
        <v>29</v>
      </c>
      <c r="T44" s="10" t="n">
        <v>28</v>
      </c>
    </row>
    <row r="45" customFormat="false" ht="15" hidden="false" customHeight="false" outlineLevel="0" collapsed="false">
      <c r="A45" s="5" t="s">
        <v>58</v>
      </c>
      <c r="B45" s="10" t="n">
        <v>18</v>
      </c>
      <c r="C45" s="10" t="n">
        <v>9</v>
      </c>
      <c r="D45" s="10" t="n">
        <v>9</v>
      </c>
      <c r="E45" s="10" t="n">
        <v>24</v>
      </c>
      <c r="F45" s="10" t="n">
        <v>10</v>
      </c>
      <c r="G45" s="10" t="n">
        <v>5</v>
      </c>
      <c r="H45" s="10" t="n">
        <v>4</v>
      </c>
      <c r="I45" s="10" t="n">
        <v>9</v>
      </c>
      <c r="J45" s="10" t="n">
        <v>0</v>
      </c>
      <c r="K45" s="10" t="n">
        <v>8</v>
      </c>
      <c r="L45" s="10" t="n">
        <v>28</v>
      </c>
      <c r="M45" s="10" t="n">
        <v>13</v>
      </c>
      <c r="N45" s="10" t="n">
        <v>34</v>
      </c>
      <c r="O45" s="10" t="n">
        <v>26</v>
      </c>
      <c r="P45" s="10" t="n">
        <v>16</v>
      </c>
      <c r="Q45" s="10" t="n">
        <v>67</v>
      </c>
      <c r="R45" s="10" t="n">
        <v>40</v>
      </c>
      <c r="S45" s="10" t="n">
        <v>52</v>
      </c>
      <c r="T45" s="10" t="n">
        <v>7</v>
      </c>
    </row>
    <row r="46" customFormat="false" ht="15" hidden="false" customHeight="false" outlineLevel="0" collapsed="false">
      <c r="A46" s="5" t="s">
        <v>59</v>
      </c>
      <c r="B46" s="10" t="n">
        <v>0</v>
      </c>
      <c r="C46" s="10" t="n">
        <v>23</v>
      </c>
      <c r="D46" s="10" t="n">
        <v>10</v>
      </c>
      <c r="E46" s="10" t="n">
        <v>29</v>
      </c>
      <c r="F46" s="10" t="n">
        <v>0</v>
      </c>
      <c r="G46" s="10" t="n">
        <v>3</v>
      </c>
      <c r="H46" s="10" t="n">
        <v>0</v>
      </c>
      <c r="I46" s="10" t="n">
        <v>10</v>
      </c>
      <c r="J46" s="10" t="n">
        <v>16</v>
      </c>
      <c r="K46" s="10" t="n">
        <v>0</v>
      </c>
      <c r="L46" s="10" t="n">
        <v>26</v>
      </c>
      <c r="M46" s="10" t="n">
        <v>27</v>
      </c>
      <c r="N46" s="10" t="n">
        <v>4</v>
      </c>
      <c r="O46" s="10" t="n">
        <v>17</v>
      </c>
      <c r="P46" s="10" t="n">
        <v>21</v>
      </c>
      <c r="Q46" s="10" t="n">
        <v>68</v>
      </c>
      <c r="R46" s="10" t="n">
        <v>35</v>
      </c>
      <c r="S46" s="10" t="n">
        <v>0</v>
      </c>
      <c r="T46" s="10" t="n">
        <v>6</v>
      </c>
    </row>
    <row r="47" customFormat="false" ht="15" hidden="false" customHeight="false" outlineLevel="0" collapsed="false">
      <c r="A47" s="5" t="s">
        <v>60</v>
      </c>
      <c r="B47" s="10" t="n">
        <v>25</v>
      </c>
      <c r="C47" s="10" t="n">
        <v>10</v>
      </c>
      <c r="D47" s="10" t="n">
        <v>11</v>
      </c>
      <c r="E47" s="10" t="n">
        <v>6</v>
      </c>
      <c r="F47" s="10" t="n">
        <v>0</v>
      </c>
      <c r="G47" s="10" t="n">
        <v>5</v>
      </c>
      <c r="H47" s="10" t="n">
        <v>0</v>
      </c>
      <c r="I47" s="10" t="n">
        <v>4</v>
      </c>
      <c r="J47" s="10" t="n">
        <v>0</v>
      </c>
      <c r="K47" s="10" t="n">
        <v>9</v>
      </c>
      <c r="L47" s="10" t="n">
        <v>19</v>
      </c>
      <c r="M47" s="10" t="n">
        <v>28</v>
      </c>
      <c r="N47" s="10" t="n">
        <v>34</v>
      </c>
      <c r="O47" s="10" t="n">
        <v>20</v>
      </c>
      <c r="P47" s="10" t="n">
        <v>5</v>
      </c>
      <c r="Q47" s="10" t="n">
        <v>26</v>
      </c>
      <c r="R47" s="10" t="n">
        <v>50</v>
      </c>
      <c r="S47" s="10" t="n">
        <v>23</v>
      </c>
      <c r="T47" s="10" t="n">
        <v>29</v>
      </c>
    </row>
    <row r="48" customFormat="false" ht="15" hidden="false" customHeight="false" outlineLevel="0" collapsed="false">
      <c r="A48" s="5" t="s">
        <v>61</v>
      </c>
      <c r="B48" s="10" t="n">
        <v>10</v>
      </c>
      <c r="C48" s="10" t="n">
        <v>20</v>
      </c>
      <c r="D48" s="10" t="n">
        <v>9</v>
      </c>
      <c r="E48" s="10" t="n">
        <v>35</v>
      </c>
      <c r="F48" s="10" t="n">
        <v>0</v>
      </c>
      <c r="G48" s="10" t="n">
        <v>13</v>
      </c>
      <c r="H48" s="10" t="n">
        <v>5</v>
      </c>
      <c r="I48" s="10" t="n">
        <v>0</v>
      </c>
      <c r="J48" s="10" t="n">
        <v>17</v>
      </c>
      <c r="K48" s="10" t="n">
        <v>9</v>
      </c>
      <c r="L48" s="10" t="n">
        <v>43</v>
      </c>
      <c r="M48" s="10" t="n">
        <v>24</v>
      </c>
      <c r="N48" s="10" t="n">
        <v>44</v>
      </c>
      <c r="O48" s="10" t="n">
        <v>39</v>
      </c>
      <c r="P48" s="10" t="n">
        <v>12</v>
      </c>
      <c r="Q48" s="10" t="n">
        <v>22</v>
      </c>
      <c r="R48" s="10" t="n">
        <v>29</v>
      </c>
      <c r="S48" s="10" t="n">
        <v>6</v>
      </c>
      <c r="T48" s="10" t="n">
        <v>40</v>
      </c>
    </row>
    <row r="49" customFormat="false" ht="15" hidden="false" customHeight="false" outlineLevel="0" collapsed="false">
      <c r="A49" s="5" t="s">
        <v>62</v>
      </c>
      <c r="B49" s="10" t="n">
        <v>9</v>
      </c>
      <c r="C49" s="10" t="n">
        <v>30</v>
      </c>
      <c r="D49" s="10" t="n">
        <v>10</v>
      </c>
      <c r="E49" s="10" t="n">
        <v>22</v>
      </c>
      <c r="F49" s="10" t="n">
        <v>11</v>
      </c>
      <c r="G49" s="10" t="n">
        <v>4</v>
      </c>
      <c r="H49" s="10" t="n">
        <v>0</v>
      </c>
      <c r="I49" s="10" t="n">
        <v>0</v>
      </c>
      <c r="J49" s="10" t="n">
        <v>0</v>
      </c>
      <c r="K49" s="10" t="n">
        <v>35</v>
      </c>
      <c r="L49" s="10" t="n">
        <v>22</v>
      </c>
      <c r="M49" s="10" t="n">
        <v>0</v>
      </c>
      <c r="N49" s="10" t="n">
        <v>26</v>
      </c>
      <c r="O49" s="10" t="n">
        <v>13</v>
      </c>
      <c r="P49" s="10" t="n">
        <v>10</v>
      </c>
      <c r="Q49" s="10" t="n">
        <v>53</v>
      </c>
      <c r="R49" s="10" t="n">
        <v>25</v>
      </c>
      <c r="S49" s="10" t="n">
        <v>53</v>
      </c>
      <c r="T49" s="10" t="n">
        <v>18</v>
      </c>
    </row>
    <row r="50" customFormat="false" ht="15" hidden="false" customHeight="false" outlineLevel="0" collapsed="false">
      <c r="A50" s="5" t="s">
        <v>63</v>
      </c>
      <c r="B50" s="10" t="n">
        <v>11</v>
      </c>
      <c r="C50" s="10" t="n">
        <v>19</v>
      </c>
      <c r="D50" s="10" t="n">
        <v>9</v>
      </c>
      <c r="E50" s="10" t="n">
        <v>27</v>
      </c>
      <c r="F50" s="10" t="n">
        <v>7</v>
      </c>
      <c r="G50" s="10" t="n">
        <v>10</v>
      </c>
      <c r="H50" s="10" t="n">
        <v>5</v>
      </c>
      <c r="I50" s="10" t="n">
        <v>5</v>
      </c>
      <c r="J50" s="10" t="n">
        <v>9</v>
      </c>
      <c r="K50" s="10" t="n">
        <v>6</v>
      </c>
      <c r="L50" s="10" t="n">
        <v>18</v>
      </c>
      <c r="M50" s="10" t="n">
        <v>35</v>
      </c>
      <c r="N50" s="10" t="n">
        <v>33</v>
      </c>
      <c r="O50" s="10" t="n">
        <v>17</v>
      </c>
      <c r="P50" s="10" t="n">
        <v>23</v>
      </c>
      <c r="Q50" s="10" t="n">
        <v>57</v>
      </c>
      <c r="R50" s="10" t="n">
        <v>45</v>
      </c>
      <c r="S50" s="10" t="n">
        <v>8</v>
      </c>
      <c r="T50" s="10" t="n">
        <v>26</v>
      </c>
    </row>
    <row r="51" customFormat="false" ht="15" hidden="false" customHeight="false" outlineLevel="0" collapsed="false">
      <c r="A51" s="5" t="s">
        <v>64</v>
      </c>
      <c r="B51" s="10" t="n">
        <v>0</v>
      </c>
      <c r="C51" s="10" t="n">
        <v>16</v>
      </c>
      <c r="D51" s="10" t="n">
        <v>0</v>
      </c>
      <c r="E51" s="10" t="n">
        <v>26</v>
      </c>
      <c r="F51" s="10" t="n">
        <v>0</v>
      </c>
      <c r="G51" s="10" t="n">
        <v>0</v>
      </c>
      <c r="H51" s="10" t="n">
        <v>18</v>
      </c>
      <c r="I51" s="10" t="n">
        <v>23</v>
      </c>
      <c r="J51" s="10" t="n">
        <v>0</v>
      </c>
      <c r="K51" s="10" t="n">
        <v>17</v>
      </c>
      <c r="L51" s="10" t="n">
        <v>34</v>
      </c>
      <c r="M51" s="10" t="n">
        <v>0</v>
      </c>
      <c r="N51" s="10" t="n">
        <v>32</v>
      </c>
      <c r="O51" s="10" t="n">
        <v>20</v>
      </c>
      <c r="P51" s="10" t="n">
        <v>15</v>
      </c>
      <c r="Q51" s="10" t="n">
        <v>48</v>
      </c>
      <c r="R51" s="10" t="n">
        <v>29</v>
      </c>
      <c r="S51" s="10" t="n">
        <v>30</v>
      </c>
      <c r="T51" s="10" t="n">
        <v>6</v>
      </c>
    </row>
    <row r="52" customFormat="false" ht="15" hidden="false" customHeight="false" outlineLevel="0" collapsed="false">
      <c r="A52" s="5" t="s">
        <v>65</v>
      </c>
      <c r="B52" s="10" t="n">
        <v>6</v>
      </c>
      <c r="C52" s="10" t="n">
        <v>0</v>
      </c>
      <c r="D52" s="10" t="n">
        <v>8</v>
      </c>
      <c r="E52" s="10" t="n">
        <v>24</v>
      </c>
      <c r="F52" s="10" t="n">
        <v>17</v>
      </c>
      <c r="G52" s="10" t="n">
        <v>16</v>
      </c>
      <c r="H52" s="10" t="n">
        <v>0</v>
      </c>
      <c r="I52" s="10" t="n">
        <v>15</v>
      </c>
      <c r="J52" s="10" t="n">
        <v>34</v>
      </c>
      <c r="K52" s="10" t="n">
        <v>0</v>
      </c>
      <c r="L52" s="10" t="n">
        <v>39</v>
      </c>
      <c r="M52" s="10" t="n">
        <v>9</v>
      </c>
      <c r="N52" s="10" t="n">
        <v>31</v>
      </c>
      <c r="O52" s="10" t="n">
        <v>25</v>
      </c>
      <c r="P52" s="10" t="n">
        <v>4</v>
      </c>
      <c r="Q52" s="10" t="n">
        <v>51</v>
      </c>
      <c r="R52" s="10" t="n">
        <v>51</v>
      </c>
      <c r="S52" s="10" t="n">
        <v>36</v>
      </c>
      <c r="T52" s="10" t="n">
        <v>12</v>
      </c>
    </row>
    <row r="53" customFormat="false" ht="15" hidden="false" customHeight="false" outlineLevel="0" collapsed="false">
      <c r="A53" s="5" t="s">
        <v>66</v>
      </c>
      <c r="B53" s="10" t="n">
        <v>14</v>
      </c>
      <c r="C53" s="10" t="n">
        <v>19</v>
      </c>
      <c r="D53" s="10" t="n">
        <v>9</v>
      </c>
      <c r="E53" s="10" t="n">
        <v>19</v>
      </c>
      <c r="F53" s="10" t="n">
        <v>18</v>
      </c>
      <c r="G53" s="10" t="n">
        <v>0</v>
      </c>
      <c r="H53" s="10" t="n">
        <v>6</v>
      </c>
      <c r="I53" s="10" t="n">
        <v>8</v>
      </c>
      <c r="J53" s="10" t="n">
        <v>9</v>
      </c>
      <c r="K53" s="10" t="n">
        <v>9</v>
      </c>
      <c r="L53" s="10" t="n">
        <v>36</v>
      </c>
      <c r="M53" s="10" t="n">
        <v>19</v>
      </c>
      <c r="N53" s="10" t="n">
        <v>40</v>
      </c>
      <c r="O53" s="10" t="n">
        <v>25</v>
      </c>
      <c r="P53" s="10" t="n">
        <v>6</v>
      </c>
      <c r="Q53" s="10" t="n">
        <v>70</v>
      </c>
      <c r="R53" s="10" t="n">
        <v>29</v>
      </c>
      <c r="S53" s="10" t="n">
        <v>5</v>
      </c>
      <c r="T53" s="10" t="n">
        <v>10</v>
      </c>
    </row>
    <row r="54" customFormat="false" ht="15" hidden="false" customHeight="false" outlineLevel="0" collapsed="false">
      <c r="A54" s="5" t="s">
        <v>67</v>
      </c>
      <c r="B54" s="10" t="n">
        <v>19</v>
      </c>
      <c r="C54" s="10" t="n">
        <v>0</v>
      </c>
      <c r="D54" s="10" t="n">
        <v>37</v>
      </c>
      <c r="E54" s="10" t="n">
        <v>11</v>
      </c>
      <c r="F54" s="10" t="n">
        <v>37</v>
      </c>
      <c r="G54" s="10" t="n">
        <v>11</v>
      </c>
      <c r="H54" s="10" t="n">
        <v>0</v>
      </c>
      <c r="I54" s="10" t="n">
        <v>0</v>
      </c>
      <c r="J54" s="10" t="n">
        <v>23</v>
      </c>
      <c r="K54" s="10" t="n">
        <v>0</v>
      </c>
      <c r="L54" s="10" t="n">
        <v>9</v>
      </c>
      <c r="M54" s="10" t="n">
        <v>12</v>
      </c>
      <c r="N54" s="10" t="n">
        <v>18</v>
      </c>
      <c r="O54" s="10" t="n">
        <v>28</v>
      </c>
      <c r="P54" s="10" t="n">
        <v>14</v>
      </c>
      <c r="Q54" s="10" t="n">
        <v>33</v>
      </c>
      <c r="R54" s="10" t="n">
        <v>38</v>
      </c>
      <c r="S54" s="10" t="n">
        <v>41</v>
      </c>
      <c r="T54" s="10" t="n">
        <v>7</v>
      </c>
    </row>
    <row r="55" customFormat="false" ht="15" hidden="false" customHeight="false" outlineLevel="0" collapsed="false">
      <c r="A55" s="5" t="s">
        <v>68</v>
      </c>
      <c r="B55" s="10" t="n">
        <v>6</v>
      </c>
      <c r="C55" s="10" t="n">
        <v>11</v>
      </c>
      <c r="D55" s="10" t="n">
        <v>29</v>
      </c>
      <c r="E55" s="10" t="n">
        <v>0</v>
      </c>
      <c r="F55" s="10" t="n">
        <v>31</v>
      </c>
      <c r="G55" s="10" t="n">
        <v>15</v>
      </c>
      <c r="H55" s="10" t="n">
        <v>16</v>
      </c>
      <c r="I55" s="10" t="n">
        <v>0</v>
      </c>
      <c r="J55" s="10" t="n">
        <v>54</v>
      </c>
      <c r="K55" s="10" t="n">
        <v>20</v>
      </c>
      <c r="L55" s="10" t="n">
        <v>41</v>
      </c>
      <c r="M55" s="10" t="n">
        <v>22</v>
      </c>
      <c r="N55" s="10" t="n">
        <v>21</v>
      </c>
      <c r="O55" s="10" t="n">
        <v>9</v>
      </c>
      <c r="P55" s="10" t="n">
        <v>26</v>
      </c>
      <c r="Q55" s="10" t="n">
        <v>16</v>
      </c>
      <c r="R55" s="10" t="n">
        <v>31</v>
      </c>
      <c r="S55" s="10" t="n">
        <v>12</v>
      </c>
      <c r="T55" s="10" t="n">
        <v>14</v>
      </c>
    </row>
    <row r="56" customFormat="false" ht="90" hidden="false" customHeight="true" outlineLevel="0" collapsed="false">
      <c r="A56" s="8" t="s">
        <v>69</v>
      </c>
      <c r="B56" s="11" t="s">
        <v>70</v>
      </c>
      <c r="C56" s="11" t="s">
        <v>71</v>
      </c>
      <c r="D56" s="11" t="s">
        <v>72</v>
      </c>
      <c r="E56" s="11" t="s">
        <v>73</v>
      </c>
      <c r="F56" s="11" t="s">
        <v>74</v>
      </c>
      <c r="G56" s="11" t="s">
        <v>75</v>
      </c>
      <c r="H56" s="11" t="s">
        <v>76</v>
      </c>
      <c r="I56" s="11" t="s">
        <v>77</v>
      </c>
      <c r="J56" s="11" t="s">
        <v>78</v>
      </c>
      <c r="K56" s="11" t="s">
        <v>79</v>
      </c>
      <c r="L56" s="11" t="s">
        <v>80</v>
      </c>
      <c r="M56" s="11" t="s">
        <v>81</v>
      </c>
      <c r="N56" s="11" t="s">
        <v>82</v>
      </c>
      <c r="O56" s="11" t="s">
        <v>83</v>
      </c>
      <c r="P56" s="11" t="s">
        <v>84</v>
      </c>
      <c r="Q56" s="11" t="s">
        <v>85</v>
      </c>
      <c r="R56" s="11" t="s">
        <v>86</v>
      </c>
      <c r="S56" s="11" t="s">
        <v>87</v>
      </c>
      <c r="T56" s="11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10" min="8" style="0" width="15"/>
    <col collapsed="false" customWidth="true" hidden="false" outlineLevel="0" max="11" min="11" style="0" width="17"/>
  </cols>
  <sheetData>
    <row r="1" customFormat="false" ht="17.35" hidden="false" customHeight="false" outlineLevel="0" collapsed="false">
      <c r="A1" s="1" t="s">
        <v>89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false" outlineLevel="0" collapsed="false">
      <c r="A3" s="5" t="s">
        <v>90</v>
      </c>
      <c r="B3" s="3"/>
      <c r="C3" s="12" t="n">
        <f aca="false">'Denominator check'!E4</f>
        <v>24910</v>
      </c>
      <c r="D3" s="3"/>
      <c r="E3" s="3"/>
      <c r="F3" s="3"/>
      <c r="G3" s="3"/>
      <c r="H3" s="3"/>
      <c r="I3" s="3"/>
      <c r="J3" s="3"/>
      <c r="K3" s="3"/>
    </row>
    <row r="4" customFormat="false" ht="15" hidden="false" customHeight="false" outlineLevel="0" collapsed="false">
      <c r="A4" s="5" t="s">
        <v>91</v>
      </c>
      <c r="B4" s="3"/>
      <c r="C4" s="12" t="n">
        <f aca="false">'Denominator check'!E5</f>
        <v>107300</v>
      </c>
      <c r="D4" s="3"/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A5" s="5" t="s">
        <v>92</v>
      </c>
      <c r="B5" s="3"/>
      <c r="C5" s="6" t="n">
        <v>682431</v>
      </c>
      <c r="D5" s="8" t="s">
        <v>93</v>
      </c>
      <c r="E5" s="3"/>
      <c r="F5" s="3"/>
      <c r="G5" s="3"/>
      <c r="H5" s="3"/>
      <c r="I5" s="3"/>
      <c r="J5" s="3"/>
      <c r="K5" s="3"/>
    </row>
    <row r="6" customFormat="false" ht="15" hidden="false" customHeight="false" outlineLevel="0" collapsed="false">
      <c r="A6" s="5" t="s">
        <v>94</v>
      </c>
      <c r="B6" s="3"/>
      <c r="C6" s="6" t="n">
        <v>3342767</v>
      </c>
      <c r="D6" s="8" t="s">
        <v>93</v>
      </c>
      <c r="E6" s="3"/>
      <c r="F6" s="3"/>
      <c r="G6" s="3"/>
      <c r="H6" s="3"/>
      <c r="I6" s="3"/>
      <c r="J6" s="3"/>
      <c r="K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customFormat="false" ht="45" hidden="false" customHeight="true" outlineLevel="0" collapsed="false">
      <c r="A8" s="4" t="s">
        <v>95</v>
      </c>
      <c r="B8" s="4" t="s">
        <v>96</v>
      </c>
      <c r="C8" s="4" t="s">
        <v>97</v>
      </c>
      <c r="D8" s="4" t="s">
        <v>98</v>
      </c>
      <c r="E8" s="4" t="s">
        <v>99</v>
      </c>
      <c r="F8" s="4" t="s">
        <v>100</v>
      </c>
      <c r="G8" s="4" t="s">
        <v>101</v>
      </c>
      <c r="H8" s="4" t="s">
        <v>102</v>
      </c>
      <c r="I8" s="4" t="s">
        <v>103</v>
      </c>
      <c r="J8" s="4" t="s">
        <v>104</v>
      </c>
      <c r="K8" s="4" t="s">
        <v>105</v>
      </c>
    </row>
    <row r="9" customFormat="false" ht="15" hidden="false" customHeight="false" outlineLevel="0" collapsed="false">
      <c r="A9" s="13" t="s">
        <v>106</v>
      </c>
      <c r="B9" s="13" t="s">
        <v>107</v>
      </c>
      <c r="C9" s="10" t="n">
        <v>10</v>
      </c>
      <c r="D9" s="10" t="n">
        <v>19</v>
      </c>
      <c r="E9" s="7" t="n">
        <f aca="false">$C$4</f>
        <v>107300</v>
      </c>
      <c r="F9" s="7" t="n">
        <f aca="false">$C$3</f>
        <v>24910</v>
      </c>
      <c r="G9" s="14" t="n">
        <f aca="false">IF(D9=0,"",D9/E9*F9)</f>
        <v>4.41090400745573</v>
      </c>
      <c r="H9" s="15" t="n">
        <f aca="false">IF(D9=0,"",IF(C9=0,1,1-POISSON(C9-1,G9,TRUE())))</f>
        <v>0.0151192782449506</v>
      </c>
      <c r="I9" s="15" t="n">
        <f aca="false">IF(D9=0,"",POISSON(C9,G9,TRUE()))</f>
        <v>0.994210724289361</v>
      </c>
      <c r="J9" s="15" t="n">
        <f aca="false">IF(D9=0,"",MIN(1,2*MIN(H9,I9)))</f>
        <v>0.0302385564899013</v>
      </c>
      <c r="K9" s="16" t="n">
        <v>0.0169</v>
      </c>
    </row>
    <row r="10" customFormat="false" ht="15" hidden="false" customHeight="false" outlineLevel="0" collapsed="false">
      <c r="A10" s="13" t="s">
        <v>106</v>
      </c>
      <c r="B10" s="13" t="s">
        <v>108</v>
      </c>
      <c r="C10" s="10" t="n">
        <v>10</v>
      </c>
      <c r="D10" s="10" t="n">
        <v>139</v>
      </c>
      <c r="E10" s="7" t="n">
        <f aca="false">$C$5</f>
        <v>682431</v>
      </c>
      <c r="F10" s="7" t="n">
        <f aca="false">$C$3</f>
        <v>24910</v>
      </c>
      <c r="G10" s="14" t="n">
        <f aca="false">IF(D10=0,"",D10/E10*F10)</f>
        <v>5.07375837264134</v>
      </c>
      <c r="H10" s="15" t="n">
        <f aca="false">IF(D10=0,"",IF(C10=0,1,1-POISSON(C10-1,G10,TRUE())))</f>
        <v>0.0345825351551349</v>
      </c>
      <c r="I10" s="15" t="n">
        <f aca="false">IF(D10=0,"",POISSON(C10,G10,TRUE()))</f>
        <v>0.984917235941005</v>
      </c>
      <c r="J10" s="15" t="n">
        <f aca="false">IF(D10=0,"",MIN(1,2*MIN(H10,I10)))</f>
        <v>0.0691650703102698</v>
      </c>
      <c r="K10" s="16" t="n">
        <v>0.0004</v>
      </c>
    </row>
    <row r="11" customFormat="false" ht="15" hidden="false" customHeight="false" outlineLevel="0" collapsed="false">
      <c r="A11" s="13" t="s">
        <v>106</v>
      </c>
      <c r="B11" s="13" t="s">
        <v>109</v>
      </c>
      <c r="C11" s="10" t="n">
        <v>10</v>
      </c>
      <c r="D11" s="10" t="n">
        <v>609</v>
      </c>
      <c r="E11" s="7" t="n">
        <f aca="false">$C$6</f>
        <v>3342767</v>
      </c>
      <c r="F11" s="7" t="n">
        <f aca="false">$C$3</f>
        <v>24910</v>
      </c>
      <c r="G11" s="14" t="n">
        <f aca="false">IF(D11=0,"",D11/E11*F11)</f>
        <v>4.53821340225029</v>
      </c>
      <c r="H11" s="15" t="n">
        <f aca="false">IF(D11=0,"",IF(C11=0,1,1-POISSON(C11-1,G11,TRUE())))</f>
        <v>0.0179949629002316</v>
      </c>
      <c r="I11" s="15" t="n">
        <f aca="false">IF(D11=0,"",POISSON(C11,G11,TRUE()))</f>
        <v>0.992923589662674</v>
      </c>
      <c r="J11" s="15" t="n">
        <f aca="false">IF(D11=0,"",MIN(1,2*MIN(H11,I11)))</f>
        <v>0.0359899258004632</v>
      </c>
      <c r="K11" s="16" t="n">
        <v>0.0001</v>
      </c>
    </row>
    <row r="12" customFormat="false" ht="15" hidden="false" customHeight="false" outlineLevel="0" collapsed="false">
      <c r="A12" s="13" t="s">
        <v>110</v>
      </c>
      <c r="B12" s="13" t="s">
        <v>107</v>
      </c>
      <c r="C12" s="10" t="n">
        <v>1</v>
      </c>
      <c r="D12" s="10" t="n">
        <v>5</v>
      </c>
      <c r="E12" s="7" t="n">
        <f aca="false">$C$4</f>
        <v>107300</v>
      </c>
      <c r="F12" s="7" t="n">
        <f aca="false">$C$3</f>
        <v>24910</v>
      </c>
      <c r="G12" s="14" t="n">
        <f aca="false">IF(D12=0,"",D12/E12*F12)</f>
        <v>1.16076421248835</v>
      </c>
      <c r="H12" s="15" t="n">
        <f aca="false">IF(D12=0,"",IF(C12=0,1,1-POISSON(C12-1,G12,TRUE())))</f>
        <v>0.686753297653851</v>
      </c>
      <c r="I12" s="15" t="n">
        <f aca="false">IF(D12=0,"",POISSON(C12,G12,TRUE()))</f>
        <v>0.676852264109549</v>
      </c>
      <c r="J12" s="15" t="n">
        <f aca="false">IF(D12=0,"",MIN(1,2*MIN(H12,I12)))</f>
        <v>1</v>
      </c>
      <c r="K12" s="16" t="n">
        <v>1</v>
      </c>
    </row>
    <row r="13" customFormat="false" ht="15" hidden="false" customHeight="false" outlineLevel="0" collapsed="false">
      <c r="A13" s="13" t="s">
        <v>110</v>
      </c>
      <c r="B13" s="13" t="s">
        <v>108</v>
      </c>
      <c r="C13" s="10" t="n">
        <v>1</v>
      </c>
      <c r="D13" s="10" t="n">
        <v>22</v>
      </c>
      <c r="E13" s="7" t="n">
        <f aca="false">$C$5</f>
        <v>682431</v>
      </c>
      <c r="F13" s="7" t="n">
        <f aca="false">$C$3</f>
        <v>24910</v>
      </c>
      <c r="G13" s="14" t="n">
        <f aca="false">IF(D13=0,"",D13/E13*F13)</f>
        <v>0.803040893511578</v>
      </c>
      <c r="H13" s="15" t="n">
        <f aca="false">IF(D13=0,"",IF(C13=0,1,1-POISSON(C13-1,G13,TRUE())))</f>
        <v>0.552035322038567</v>
      </c>
      <c r="I13" s="15" t="n">
        <f aca="false">IF(D13=0,"",POISSON(C13,G13,TRUE()))</f>
        <v>0.807698633213208</v>
      </c>
      <c r="J13" s="15" t="n">
        <f aca="false">IF(D13=0,"",MIN(1,2*MIN(H13,I13)))</f>
        <v>1</v>
      </c>
      <c r="K13" s="16" t="n">
        <v>0.6272</v>
      </c>
    </row>
    <row r="14" customFormat="false" ht="15" hidden="false" customHeight="false" outlineLevel="0" collapsed="false">
      <c r="A14" s="13" t="s">
        <v>110</v>
      </c>
      <c r="B14" s="13" t="s">
        <v>109</v>
      </c>
      <c r="C14" s="10" t="n">
        <v>1</v>
      </c>
      <c r="D14" s="10" t="n">
        <v>99</v>
      </c>
      <c r="E14" s="7" t="n">
        <f aca="false">$C$6</f>
        <v>3342767</v>
      </c>
      <c r="F14" s="7" t="n">
        <f aca="false">$C$3</f>
        <v>24910</v>
      </c>
      <c r="G14" s="14" t="n">
        <f aca="false">IF(D14=0,"",D14/E14*F14)</f>
        <v>0.737739124503742</v>
      </c>
      <c r="H14" s="15" t="n">
        <f aca="false">IF(D14=0,"",IF(C14=0,1,1-POISSON(C14-1,G14,TRUE())))</f>
        <v>0.521806169001224</v>
      </c>
      <c r="I14" s="15" t="n">
        <f aca="false">IF(D14=0,"",POISSON(C14,G14,TRUE()))</f>
        <v>0.830976129222904</v>
      </c>
      <c r="J14" s="15" t="n">
        <f aca="false">IF(D14=0,"",MIN(1,2*MIN(H14,I14)))</f>
        <v>1</v>
      </c>
      <c r="K14" s="16" t="n">
        <v>0.5906</v>
      </c>
    </row>
    <row r="15" customFormat="false" ht="15" hidden="false" customHeight="false" outlineLevel="0" collapsed="false">
      <c r="A15" s="13" t="s">
        <v>111</v>
      </c>
      <c r="B15" s="13" t="s">
        <v>107</v>
      </c>
      <c r="C15" s="10" t="n">
        <v>2</v>
      </c>
      <c r="D15" s="10" t="n">
        <v>2</v>
      </c>
      <c r="E15" s="7" t="n">
        <f aca="false">$C$4</f>
        <v>107300</v>
      </c>
      <c r="F15" s="7" t="n">
        <f aca="false">$C$3</f>
        <v>24910</v>
      </c>
      <c r="G15" s="14" t="n">
        <f aca="false">IF(D15=0,"",D15/E15*F15)</f>
        <v>0.46430568499534</v>
      </c>
      <c r="H15" s="15" t="n">
        <f aca="false">IF(D15=0,"",IF(C15=0,1,1-POISSON(C15-1,G15,TRUE())))</f>
        <v>0.079579354464653</v>
      </c>
      <c r="I15" s="15" t="n">
        <f aca="false">IF(D15=0,"",POISSON(C15,G15,TRUE()))</f>
        <v>0.988174282050627</v>
      </c>
      <c r="J15" s="15" t="n">
        <f aca="false">IF(D15=0,"",MIN(1,2*MIN(H15,I15)))</f>
        <v>0.159158708929306</v>
      </c>
      <c r="K15" s="16" t="n">
        <v>0.1358</v>
      </c>
    </row>
    <row r="16" customFormat="false" ht="15" hidden="false" customHeight="false" outlineLevel="0" collapsed="false">
      <c r="A16" s="13" t="s">
        <v>111</v>
      </c>
      <c r="B16" s="13" t="s">
        <v>108</v>
      </c>
      <c r="C16" s="10" t="n">
        <v>2</v>
      </c>
      <c r="D16" s="10" t="n">
        <v>28</v>
      </c>
      <c r="E16" s="7" t="n">
        <f aca="false">$C$5</f>
        <v>682431</v>
      </c>
      <c r="F16" s="7" t="n">
        <f aca="false">$C$3</f>
        <v>24910</v>
      </c>
      <c r="G16" s="14" t="n">
        <f aca="false">IF(D16=0,"",D16/E16*F16)</f>
        <v>1.02205204628746</v>
      </c>
      <c r="H16" s="15" t="n">
        <f aca="false">IF(D16=0,"",IF(C16=0,1,1-POISSON(C16-1,G16,TRUE())))</f>
        <v>0.272352961816136</v>
      </c>
      <c r="I16" s="15" t="n">
        <f aca="false">IF(D16=0,"",POISSON(C16,G16,TRUE()))</f>
        <v>0.915597961946997</v>
      </c>
      <c r="J16" s="15" t="n">
        <f aca="false">IF(D16=0,"",MIN(1,2*MIN(H16,I16)))</f>
        <v>0.544705923632273</v>
      </c>
      <c r="K16" s="16" t="n">
        <v>0.1697</v>
      </c>
    </row>
    <row r="17" customFormat="false" ht="15" hidden="false" customHeight="false" outlineLevel="0" collapsed="false">
      <c r="A17" s="13" t="s">
        <v>111</v>
      </c>
      <c r="B17" s="13" t="s">
        <v>109</v>
      </c>
      <c r="C17" s="10" t="n">
        <v>2</v>
      </c>
      <c r="D17" s="10" t="n">
        <v>113</v>
      </c>
      <c r="E17" s="7" t="n">
        <f aca="false">$C$6</f>
        <v>3342767</v>
      </c>
      <c r="F17" s="7" t="n">
        <f aca="false">$C$3</f>
        <v>24910</v>
      </c>
      <c r="G17" s="14" t="n">
        <f aca="false">IF(D17=0,"",D17/E17*F17)</f>
        <v>0.842065869383059</v>
      </c>
      <c r="H17" s="15" t="n">
        <f aca="false">IF(D17=0,"",IF(C17=0,1,1-POISSON(C17-1,G17,TRUE())))</f>
        <v>0.206401943896481</v>
      </c>
      <c r="I17" s="15" t="n">
        <f aca="false">IF(D17=0,"",POISSON(C17,G17,TRUE()))</f>
        <v>0.946339739814985</v>
      </c>
      <c r="J17" s="15" t="n">
        <f aca="false">IF(D17=0,"",MIN(1,2*MIN(H17,I17)))</f>
        <v>0.412803887792962</v>
      </c>
      <c r="K17" s="16" t="n">
        <v>0.1231</v>
      </c>
    </row>
    <row r="18" customFormat="false" ht="15" hidden="false" customHeight="false" outlineLevel="0" collapsed="false">
      <c r="A18" s="13" t="s">
        <v>112</v>
      </c>
      <c r="B18" s="13" t="s">
        <v>107</v>
      </c>
      <c r="C18" s="10" t="n">
        <v>2</v>
      </c>
      <c r="D18" s="10" t="n">
        <v>0</v>
      </c>
      <c r="E18" s="7" t="n">
        <f aca="false">$C$4</f>
        <v>107300</v>
      </c>
      <c r="F18" s="7" t="n">
        <f aca="false">$C$3</f>
        <v>24910</v>
      </c>
      <c r="G18" s="14" t="str">
        <f aca="false">IF(D18=0,"",D18/E18*F18)</f>
        <v/>
      </c>
      <c r="H18" s="15" t="str">
        <f aca="false">IF(D18=0,"",IF(C18=0,1,1-POISSON(C18-1,G18,TRUE())))</f>
        <v/>
      </c>
      <c r="I18" s="15" t="str">
        <f aca="false">IF(D18=0,"",POISSON(C18,G18,TRUE()))</f>
        <v/>
      </c>
      <c r="J18" s="15" t="str">
        <f aca="false">IF(D18=0,"",MIN(1,2*MIN(H18,I18)))</f>
        <v/>
      </c>
      <c r="K18" s="16"/>
    </row>
    <row r="19" customFormat="false" ht="15" hidden="false" customHeight="false" outlineLevel="0" collapsed="false">
      <c r="A19" s="13" t="s">
        <v>112</v>
      </c>
      <c r="B19" s="13" t="s">
        <v>108</v>
      </c>
      <c r="C19" s="10" t="n">
        <v>2</v>
      </c>
      <c r="D19" s="10" t="n">
        <v>8</v>
      </c>
      <c r="E19" s="7" t="n">
        <f aca="false">$C$5</f>
        <v>682431</v>
      </c>
      <c r="F19" s="7" t="n">
        <f aca="false">$C$3</f>
        <v>24910</v>
      </c>
      <c r="G19" s="14" t="n">
        <f aca="false">IF(D19=0,"",D19/E19*F19)</f>
        <v>0.292014870367847</v>
      </c>
      <c r="H19" s="15" t="n">
        <f aca="false">IF(D19=0,"",IF(C19=0,1,1-POISSON(C19-1,G19,TRUE())))</f>
        <v>0.0351782941599436</v>
      </c>
      <c r="I19" s="15" t="n">
        <f aca="false">IF(D19=0,"",POISSON(C19,G19,TRUE()))</f>
        <v>0.996660711266061</v>
      </c>
      <c r="J19" s="15" t="n">
        <f aca="false">IF(D19=0,"",MIN(1,2*MIN(H19,I19)))</f>
        <v>0.0703565883198871</v>
      </c>
      <c r="K19" s="16" t="n">
        <v>0.0181</v>
      </c>
    </row>
    <row r="20" customFormat="false" ht="15" hidden="false" customHeight="false" outlineLevel="0" collapsed="false">
      <c r="A20" s="13" t="s">
        <v>112</v>
      </c>
      <c r="B20" s="13" t="s">
        <v>109</v>
      </c>
      <c r="C20" s="10" t="n">
        <v>2</v>
      </c>
      <c r="D20" s="10" t="n">
        <v>34</v>
      </c>
      <c r="E20" s="7" t="n">
        <f aca="false">$C$6</f>
        <v>3342767</v>
      </c>
      <c r="F20" s="7" t="n">
        <f aca="false">$C$3</f>
        <v>24910</v>
      </c>
      <c r="G20" s="14" t="n">
        <f aca="false">IF(D20=0,"",D20/E20*F20)</f>
        <v>0.25336495184977</v>
      </c>
      <c r="H20" s="15" t="n">
        <f aca="false">IF(D20=0,"",IF(C20=0,1,1-POISSON(C20-1,G20,TRUE())))</f>
        <v>0.0271574761579672</v>
      </c>
      <c r="I20" s="15" t="n">
        <f aca="false">IF(D20=0,"",POISSON(C20,G20,TRUE()))</f>
        <v>0.997755641594595</v>
      </c>
      <c r="J20" s="15" t="n">
        <f aca="false">IF(D20=0,"",MIN(1,2*MIN(H20,I20)))</f>
        <v>0.0543149523159343</v>
      </c>
      <c r="K20" s="16" t="n">
        <v>0.0133</v>
      </c>
    </row>
    <row r="21" customFormat="false" ht="15" hidden="false" customHeight="false" outlineLevel="0" collapsed="false">
      <c r="A21" s="13" t="s">
        <v>113</v>
      </c>
      <c r="B21" s="13" t="s">
        <v>107</v>
      </c>
      <c r="C21" s="10" t="n">
        <v>2</v>
      </c>
      <c r="D21" s="10" t="n">
        <v>2</v>
      </c>
      <c r="E21" s="7" t="n">
        <f aca="false">$C$4</f>
        <v>107300</v>
      </c>
      <c r="F21" s="7" t="n">
        <f aca="false">$C$3</f>
        <v>24910</v>
      </c>
      <c r="G21" s="14" t="n">
        <f aca="false">IF(D21=0,"",D21/E21*F21)</f>
        <v>0.46430568499534</v>
      </c>
      <c r="H21" s="15" t="n">
        <f aca="false">IF(D21=0,"",IF(C21=0,1,1-POISSON(C21-1,G21,TRUE())))</f>
        <v>0.079579354464653</v>
      </c>
      <c r="I21" s="15" t="n">
        <f aca="false">IF(D21=0,"",POISSON(C21,G21,TRUE()))</f>
        <v>0.988174282050627</v>
      </c>
      <c r="J21" s="15" t="n">
        <f aca="false">IF(D21=0,"",MIN(1,2*MIN(H21,I21)))</f>
        <v>0.159158708929306</v>
      </c>
      <c r="K21" s="16" t="n">
        <v>0.1358</v>
      </c>
    </row>
    <row r="22" customFormat="false" ht="15" hidden="false" customHeight="false" outlineLevel="0" collapsed="false">
      <c r="A22" s="13" t="s">
        <v>113</v>
      </c>
      <c r="B22" s="13" t="s">
        <v>108</v>
      </c>
      <c r="C22" s="10" t="n">
        <v>2</v>
      </c>
      <c r="D22" s="10" t="n">
        <v>16</v>
      </c>
      <c r="E22" s="7" t="n">
        <f aca="false">$C$5</f>
        <v>682431</v>
      </c>
      <c r="F22" s="7" t="n">
        <f aca="false">$C$3</f>
        <v>24910</v>
      </c>
      <c r="G22" s="14" t="n">
        <f aca="false">IF(D22=0,"",D22/E22*F22)</f>
        <v>0.584029740735694</v>
      </c>
      <c r="H22" s="15" t="n">
        <f aca="false">IF(D22=0,"",IF(C22=0,1,1-POISSON(C22-1,G22,TRUE())))</f>
        <v>0.116671103756131</v>
      </c>
      <c r="I22" s="15" t="n">
        <f aca="false">IF(D22=0,"",POISSON(C22,G22,TRUE()))</f>
        <v>0.978432951876363</v>
      </c>
      <c r="J22" s="15" t="n">
        <f aca="false">IF(D22=0,"",MIN(1,2*MIN(H22,I22)))</f>
        <v>0.233342207512261</v>
      </c>
      <c r="K22" s="16" t="n">
        <v>0.0612</v>
      </c>
    </row>
    <row r="23" customFormat="false" ht="15" hidden="false" customHeight="false" outlineLevel="0" collapsed="false">
      <c r="A23" s="13" t="s">
        <v>113</v>
      </c>
      <c r="B23" s="13" t="s">
        <v>109</v>
      </c>
      <c r="C23" s="10" t="n">
        <v>2</v>
      </c>
      <c r="D23" s="10" t="n">
        <v>53</v>
      </c>
      <c r="E23" s="7" t="n">
        <f aca="false">$C$6</f>
        <v>3342767</v>
      </c>
      <c r="F23" s="7" t="n">
        <f aca="false">$C$3</f>
        <v>24910</v>
      </c>
      <c r="G23" s="14" t="n">
        <f aca="false">IF(D23=0,"",D23/E23*F23)</f>
        <v>0.3949512484717</v>
      </c>
      <c r="H23" s="15" t="n">
        <f aca="false">IF(D23=0,"",IF(C23=0,1,1-POISSON(C23-1,G23,TRUE())))</f>
        <v>0.0602033727742544</v>
      </c>
      <c r="I23" s="15" t="n">
        <f aca="false">IF(D23=0,"",POISSON(C23,G23,TRUE()))</f>
        <v>0.992341680719499</v>
      </c>
      <c r="J23" s="15" t="n">
        <f aca="false">IF(D23=0,"",MIN(1,2*MIN(H23,I23)))</f>
        <v>0.120406745548509</v>
      </c>
      <c r="K23" s="16" t="n">
        <v>0.0318</v>
      </c>
    </row>
    <row r="24" customFormat="false" ht="15" hidden="false" customHeight="false" outlineLevel="0" collapsed="false">
      <c r="A24" s="13" t="s">
        <v>114</v>
      </c>
      <c r="B24" s="13" t="s">
        <v>107</v>
      </c>
      <c r="C24" s="10" t="n">
        <v>0</v>
      </c>
      <c r="D24" s="10" t="n">
        <v>3</v>
      </c>
      <c r="E24" s="7" t="n">
        <f aca="false">$C$4</f>
        <v>107300</v>
      </c>
      <c r="F24" s="7" t="n">
        <f aca="false">$C$3</f>
        <v>24910</v>
      </c>
      <c r="G24" s="14" t="n">
        <f aca="false">IF(D24=0,"",D24/E24*F24)</f>
        <v>0.69645852749301</v>
      </c>
      <c r="H24" s="15" t="n">
        <f aca="false">IF(D24=0,"",IF(C24=0,1,1-POISSON(C24-1,G24,TRUE())))</f>
        <v>1</v>
      </c>
      <c r="I24" s="15" t="n">
        <f aca="false">IF(D24=0,"",POISSON(C24,G24,TRUE()))</f>
        <v>0.49834706476485</v>
      </c>
      <c r="J24" s="15" t="n">
        <f aca="false">IF(D24=0,"",MIN(1,2*MIN(H24,I24)))</f>
        <v>0.9966941295297</v>
      </c>
      <c r="K24" s="16" t="n">
        <v>1</v>
      </c>
    </row>
    <row r="25" customFormat="false" ht="15" hidden="false" customHeight="false" outlineLevel="0" collapsed="false">
      <c r="A25" s="13" t="s">
        <v>114</v>
      </c>
      <c r="B25" s="13" t="s">
        <v>108</v>
      </c>
      <c r="C25" s="10" t="n">
        <v>0</v>
      </c>
      <c r="D25" s="10" t="n">
        <v>9</v>
      </c>
      <c r="E25" s="7" t="n">
        <f aca="false">$C$5</f>
        <v>682431</v>
      </c>
      <c r="F25" s="7" t="n">
        <f aca="false">$C$3</f>
        <v>24910</v>
      </c>
      <c r="G25" s="14" t="n">
        <f aca="false">IF(D25=0,"",D25/E25*F25)</f>
        <v>0.328516729163828</v>
      </c>
      <c r="H25" s="15" t="n">
        <f aca="false">IF(D25=0,"",IF(C25=0,1,1-POISSON(C25-1,G25,TRUE())))</f>
        <v>1</v>
      </c>
      <c r="I25" s="15" t="n">
        <f aca="false">IF(D25=0,"",POISSON(C25,G25,TRUE()))</f>
        <v>0.719990883279629</v>
      </c>
      <c r="J25" s="15" t="n">
        <f aca="false">IF(D25=0,"",MIN(1,2*MIN(H25,I25)))</f>
        <v>1</v>
      </c>
      <c r="K25" s="16" t="n">
        <v>1</v>
      </c>
    </row>
    <row r="26" customFormat="false" ht="15" hidden="false" customHeight="false" outlineLevel="0" collapsed="false">
      <c r="A26" s="13" t="s">
        <v>114</v>
      </c>
      <c r="B26" s="13" t="s">
        <v>109</v>
      </c>
      <c r="C26" s="10" t="n">
        <v>0</v>
      </c>
      <c r="D26" s="10" t="n">
        <v>40</v>
      </c>
      <c r="E26" s="7" t="n">
        <f aca="false">$C$6</f>
        <v>3342767</v>
      </c>
      <c r="F26" s="7" t="n">
        <f aca="false">$C$3</f>
        <v>24910</v>
      </c>
      <c r="G26" s="14" t="n">
        <f aca="false">IF(D26=0,"",D26/E26*F26)</f>
        <v>0.298076413940906</v>
      </c>
      <c r="H26" s="15" t="n">
        <f aca="false">IF(D26=0,"",IF(C26=0,1,1-POISSON(C26-1,G26,TRUE())))</f>
        <v>1</v>
      </c>
      <c r="I26" s="15" t="n">
        <f aca="false">IF(D26=0,"",POISSON(C26,G26,TRUE()))</f>
        <v>0.742244619744192</v>
      </c>
      <c r="J26" s="15" t="n">
        <f aca="false">IF(D26=0,"",MIN(1,2*MIN(H26,I26)))</f>
        <v>1</v>
      </c>
      <c r="K26" s="16" t="n">
        <v>1</v>
      </c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customFormat="false" ht="15" hidden="false" customHeight="false" outlineLevel="0" collapsed="false">
      <c r="A28" s="8" t="s">
        <v>115</v>
      </c>
      <c r="B28" s="3"/>
      <c r="C28" s="3"/>
      <c r="D28" s="3"/>
      <c r="E28" s="3"/>
      <c r="F28" s="3"/>
      <c r="G28" s="3"/>
      <c r="H28" s="3"/>
      <c r="I28" s="3"/>
      <c r="J28" s="3"/>
      <c r="K2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5" min="4" style="0" width="14"/>
    <col collapsed="false" customWidth="true" hidden="false" outlineLevel="0" max="9" min="6" style="0" width="12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116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5" hidden="false" customHeight="false" outlineLevel="0" collapsed="false">
      <c r="A2" s="8" t="s">
        <v>117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48" hidden="false" customHeight="true" outlineLevel="0" collapsed="false">
      <c r="A4" s="4" t="s">
        <v>118</v>
      </c>
      <c r="B4" s="4" t="s">
        <v>95</v>
      </c>
      <c r="C4" s="4" t="s">
        <v>97</v>
      </c>
      <c r="D4" s="4" t="s">
        <v>119</v>
      </c>
      <c r="E4" s="4" t="s">
        <v>120</v>
      </c>
      <c r="F4" s="4" t="s">
        <v>121</v>
      </c>
      <c r="G4" s="4" t="s">
        <v>122</v>
      </c>
      <c r="H4" s="4" t="s">
        <v>123</v>
      </c>
      <c r="I4" s="4" t="s">
        <v>124</v>
      </c>
      <c r="J4" s="4" t="s">
        <v>125</v>
      </c>
      <c r="K4" s="4" t="s">
        <v>126</v>
      </c>
      <c r="L4" s="4" t="s">
        <v>127</v>
      </c>
    </row>
    <row r="5" customFormat="false" ht="15" hidden="false" customHeight="false" outlineLevel="0" collapsed="false">
      <c r="A5" s="13" t="s">
        <v>128</v>
      </c>
      <c r="B5" s="13" t="s">
        <v>106</v>
      </c>
      <c r="C5" s="10" t="n">
        <v>10</v>
      </c>
      <c r="D5" s="17" t="n">
        <f aca="false">IF('0-19 recalc'!J9="","",'0-19 recalc'!J9)</f>
        <v>0.0302385564899013</v>
      </c>
      <c r="E5" s="17" t="n">
        <f aca="false">IF('0-19 recalc'!J10="","",'0-19 recalc'!J10)</f>
        <v>0.0691650703102698</v>
      </c>
      <c r="F5" s="17" t="n">
        <f aca="false">IF('0-19 recalc'!J11="","",'0-19 recalc'!J11)</f>
        <v>0.0359899258004632</v>
      </c>
      <c r="G5" s="14" t="n">
        <f aca="false">IF(ISNUMBER(D5),LN(D5),"")</f>
        <v>-3.49863746393248</v>
      </c>
      <c r="H5" s="14" t="n">
        <f aca="false">IF(ISNUMBER(E5),LN(E5),"")</f>
        <v>-2.67125930809736</v>
      </c>
      <c r="I5" s="14" t="n">
        <f aca="false">IF(ISNUMBER(F5),LN(F5),"")</f>
        <v>-3.32451621856425</v>
      </c>
      <c r="J5" s="10" t="n">
        <v>1</v>
      </c>
      <c r="K5" s="10" t="n">
        <v>0</v>
      </c>
      <c r="L5" s="10" t="n">
        <v>0</v>
      </c>
    </row>
    <row r="6" customFormat="false" ht="15" hidden="false" customHeight="false" outlineLevel="0" collapsed="false">
      <c r="A6" s="13" t="s">
        <v>128</v>
      </c>
      <c r="B6" s="13" t="s">
        <v>110</v>
      </c>
      <c r="C6" s="10" t="n">
        <v>1</v>
      </c>
      <c r="D6" s="17" t="n">
        <f aca="false">IF('0-19 recalc'!J12="","",'0-19 recalc'!J12)</f>
        <v>1</v>
      </c>
      <c r="E6" s="17" t="n">
        <f aca="false">IF('0-19 recalc'!J13="","",'0-19 recalc'!J13)</f>
        <v>1</v>
      </c>
      <c r="F6" s="17" t="n">
        <f aca="false">IF('0-19 recalc'!J14="","",'0-19 recalc'!J14)</f>
        <v>1</v>
      </c>
      <c r="G6" s="14" t="n">
        <f aca="false">IF(ISNUMBER(D6),LN(D6),"")</f>
        <v>0</v>
      </c>
      <c r="H6" s="14" t="n">
        <f aca="false">IF(ISNUMBER(E6),LN(E6),"")</f>
        <v>0</v>
      </c>
      <c r="I6" s="14" t="n">
        <f aca="false">IF(ISNUMBER(F6),LN(F6),"")</f>
        <v>0</v>
      </c>
      <c r="J6" s="10" t="n">
        <v>0</v>
      </c>
      <c r="K6" s="10" t="n">
        <v>1</v>
      </c>
      <c r="L6" s="10" t="n">
        <v>1</v>
      </c>
    </row>
    <row r="7" customFormat="false" ht="15" hidden="false" customHeight="false" outlineLevel="0" collapsed="false">
      <c r="A7" s="13" t="s">
        <v>128</v>
      </c>
      <c r="B7" s="13" t="s">
        <v>111</v>
      </c>
      <c r="C7" s="10" t="n">
        <v>2</v>
      </c>
      <c r="D7" s="17" t="n">
        <f aca="false">IF('0-19 recalc'!J15="","",'0-19 recalc'!J15)</f>
        <v>0.159158708929306</v>
      </c>
      <c r="E7" s="17" t="n">
        <f aca="false">IF('0-19 recalc'!J16="","",'0-19 recalc'!J16)</f>
        <v>0.544705923632273</v>
      </c>
      <c r="F7" s="17" t="n">
        <f aca="false">IF('0-19 recalc'!J17="","",'0-19 recalc'!J17)</f>
        <v>0.412803887792962</v>
      </c>
      <c r="G7" s="14" t="n">
        <f aca="false">IF(ISNUMBER(D7),LN(D7),"")</f>
        <v>-1.83785340523499</v>
      </c>
      <c r="H7" s="14" t="n">
        <f aca="false">IF(ISNUMBER(E7),LN(E7),"")</f>
        <v>-0.607509219615341</v>
      </c>
      <c r="I7" s="14" t="n">
        <f aca="false">IF(ISNUMBER(F7),LN(F7),"")</f>
        <v>-0.884782646756028</v>
      </c>
      <c r="J7" s="10" t="n">
        <v>0</v>
      </c>
      <c r="K7" s="10" t="n">
        <v>1</v>
      </c>
      <c r="L7" s="10" t="n">
        <v>1</v>
      </c>
    </row>
    <row r="8" customFormat="false" ht="15" hidden="false" customHeight="false" outlineLevel="0" collapsed="false">
      <c r="A8" s="13" t="s">
        <v>128</v>
      </c>
      <c r="B8" s="13" t="s">
        <v>112</v>
      </c>
      <c r="C8" s="10" t="n">
        <v>2</v>
      </c>
      <c r="D8" s="17" t="str">
        <f aca="false">IF('0-19 recalc'!J18="","",'0-19 recalc'!J18)</f>
        <v/>
      </c>
      <c r="E8" s="17" t="n">
        <f aca="false">IF('0-19 recalc'!J19="","",'0-19 recalc'!J19)</f>
        <v>0.0703565883198871</v>
      </c>
      <c r="F8" s="17" t="n">
        <f aca="false">IF('0-19 recalc'!J20="","",'0-19 recalc'!J20)</f>
        <v>0.0543149523159343</v>
      </c>
      <c r="G8" s="14" t="str">
        <f aca="false">IF(ISNUMBER(D8),LN(D8),"")</f>
        <v/>
      </c>
      <c r="H8" s="14" t="n">
        <f aca="false">IF(ISNUMBER(E8),LN(E8),"")</f>
        <v>-2.65417884920417</v>
      </c>
      <c r="I8" s="14" t="n">
        <f aca="false">IF(ISNUMBER(F8),LN(F8),"")</f>
        <v>-2.91295572501388</v>
      </c>
      <c r="J8" s="10" t="n">
        <v>0</v>
      </c>
      <c r="K8" s="10" t="n">
        <v>1</v>
      </c>
      <c r="L8" s="10" t="n">
        <v>1</v>
      </c>
    </row>
    <row r="9" customFormat="false" ht="15" hidden="false" customHeight="false" outlineLevel="0" collapsed="false">
      <c r="A9" s="13" t="s">
        <v>128</v>
      </c>
      <c r="B9" s="13" t="s">
        <v>113</v>
      </c>
      <c r="C9" s="10" t="n">
        <v>2</v>
      </c>
      <c r="D9" s="17" t="n">
        <f aca="false">IF('0-19 recalc'!J21="","",'0-19 recalc'!J21)</f>
        <v>0.159158708929306</v>
      </c>
      <c r="E9" s="17" t="n">
        <f aca="false">IF('0-19 recalc'!J22="","",'0-19 recalc'!J22)</f>
        <v>0.233342207512261</v>
      </c>
      <c r="F9" s="17" t="n">
        <f aca="false">IF('0-19 recalc'!J23="","",'0-19 recalc'!J23)</f>
        <v>0.120406745548509</v>
      </c>
      <c r="G9" s="14" t="n">
        <f aca="false">IF(ISNUMBER(D9),LN(D9),"")</f>
        <v>-1.83785340523499</v>
      </c>
      <c r="H9" s="14" t="n">
        <f aca="false">IF(ISNUMBER(E9),LN(E9),"")</f>
        <v>-1.45524920113464</v>
      </c>
      <c r="I9" s="14" t="n">
        <f aca="false">IF(ISNUMBER(F9),LN(F9),"")</f>
        <v>-2.11687972152642</v>
      </c>
      <c r="J9" s="10" t="n">
        <v>0</v>
      </c>
      <c r="K9" s="10" t="n">
        <v>1</v>
      </c>
      <c r="L9" s="10" t="n">
        <v>1</v>
      </c>
    </row>
    <row r="10" customFormat="false" ht="15" hidden="false" customHeight="false" outlineLevel="0" collapsed="false">
      <c r="A10" s="13" t="s">
        <v>129</v>
      </c>
      <c r="B10" s="13" t="s">
        <v>106</v>
      </c>
      <c r="C10" s="10" t="n">
        <v>53</v>
      </c>
      <c r="D10" s="18" t="n">
        <v>1.6E-005</v>
      </c>
      <c r="E10" s="16" t="n">
        <v>0.0172</v>
      </c>
      <c r="F10" s="16" t="n">
        <v>0.0412</v>
      </c>
      <c r="G10" s="14" t="n">
        <f aca="false">IF(ISNUMBER(D10),LN(D10),"")</f>
        <v>-11.0429218357245</v>
      </c>
      <c r="H10" s="14" t="n">
        <f aca="false">IF(ISNUMBER(E10),LN(E10),"")</f>
        <v>-4.06284589516273</v>
      </c>
      <c r="I10" s="14" t="n">
        <f aca="false">IF(ISNUMBER(F10),LN(F10),"")</f>
        <v>-3.18931702262666</v>
      </c>
      <c r="J10" s="10" t="n">
        <v>1</v>
      </c>
      <c r="K10" s="10" t="n">
        <v>0</v>
      </c>
      <c r="L10" s="10" t="n">
        <v>0</v>
      </c>
    </row>
    <row r="11" customFormat="false" ht="15" hidden="false" customHeight="false" outlineLevel="0" collapsed="false">
      <c r="A11" s="13" t="s">
        <v>129</v>
      </c>
      <c r="B11" s="13" t="s">
        <v>130</v>
      </c>
      <c r="C11" s="10" t="n">
        <v>2</v>
      </c>
      <c r="D11" s="16" t="n">
        <v>0.4004</v>
      </c>
      <c r="E11" s="16" t="n">
        <v>1</v>
      </c>
      <c r="F11" s="16" t="n">
        <v>1</v>
      </c>
      <c r="G11" s="14" t="n">
        <f aca="false">IF(ISNUMBER(D11),LN(D11),"")</f>
        <v>-0.915291231541072</v>
      </c>
      <c r="H11" s="14" t="n">
        <f aca="false">IF(ISNUMBER(E11),LN(E11),"")</f>
        <v>0</v>
      </c>
      <c r="I11" s="14" t="n">
        <f aca="false">IF(ISNUMBER(F11),LN(F11),"")</f>
        <v>0</v>
      </c>
      <c r="J11" s="10" t="n">
        <v>0</v>
      </c>
      <c r="K11" s="10" t="n">
        <v>1</v>
      </c>
      <c r="L11" s="10" t="n">
        <v>1</v>
      </c>
    </row>
    <row r="12" customFormat="false" ht="15" hidden="false" customHeight="false" outlineLevel="0" collapsed="false">
      <c r="A12" s="13" t="s">
        <v>129</v>
      </c>
      <c r="B12" s="13" t="s">
        <v>131</v>
      </c>
      <c r="C12" s="10" t="n">
        <v>2</v>
      </c>
      <c r="D12" s="16" t="n">
        <v>0.5008</v>
      </c>
      <c r="E12" s="16" t="n">
        <v>0.7262</v>
      </c>
      <c r="F12" s="16" t="n">
        <v>0.7464</v>
      </c>
      <c r="G12" s="14" t="n">
        <f aca="false">IF(ISNUMBER(D12),LN(D12),"")</f>
        <v>-0.691548459196248</v>
      </c>
      <c r="H12" s="14" t="n">
        <f aca="false">IF(ISNUMBER(E12),LN(E12),"")</f>
        <v>-0.319929820001902</v>
      </c>
      <c r="I12" s="14" t="n">
        <f aca="false">IF(ISNUMBER(F12),LN(F12),"")</f>
        <v>-0.292493629449003</v>
      </c>
      <c r="J12" s="10" t="n">
        <v>0</v>
      </c>
      <c r="K12" s="10" t="n">
        <v>1</v>
      </c>
      <c r="L12" s="10" t="n">
        <v>1</v>
      </c>
    </row>
    <row r="13" customFormat="false" ht="15" hidden="false" customHeight="false" outlineLevel="0" collapsed="false">
      <c r="A13" s="13" t="s">
        <v>129</v>
      </c>
      <c r="B13" s="13" t="s">
        <v>132</v>
      </c>
      <c r="C13" s="10" t="n">
        <v>8</v>
      </c>
      <c r="D13" s="16" t="n">
        <v>0.287</v>
      </c>
      <c r="E13" s="16" t="n">
        <v>1</v>
      </c>
      <c r="F13" s="16" t="n">
        <v>0.9646</v>
      </c>
      <c r="G13" s="14" t="n">
        <f aca="false">IF(ISNUMBER(D13),LN(D13),"")</f>
        <v>-1.24827306322252</v>
      </c>
      <c r="H13" s="14" t="n">
        <f aca="false">IF(ISNUMBER(E13),LN(E13),"")</f>
        <v>0</v>
      </c>
      <c r="I13" s="14" t="n">
        <f aca="false">IF(ISNUMBER(F13),LN(F13),"")</f>
        <v>-0.0360417713472655</v>
      </c>
      <c r="J13" s="10" t="n">
        <v>0</v>
      </c>
      <c r="K13" s="10" t="n">
        <v>1</v>
      </c>
      <c r="L13" s="10" t="n">
        <v>1</v>
      </c>
    </row>
    <row r="14" customFormat="false" ht="15" hidden="false" customHeight="false" outlineLevel="0" collapsed="false">
      <c r="A14" s="13" t="s">
        <v>129</v>
      </c>
      <c r="B14" s="13" t="s">
        <v>133</v>
      </c>
      <c r="C14" s="10" t="n">
        <v>1</v>
      </c>
      <c r="D14" s="16" t="n">
        <v>0.6348</v>
      </c>
      <c r="E14" s="16" t="n">
        <v>0.5218</v>
      </c>
      <c r="F14" s="16" t="n">
        <v>0.5184</v>
      </c>
      <c r="G14" s="14" t="n">
        <f aca="false">IF(ISNUMBER(D14),LN(D14),"")</f>
        <v>-0.454445290329883</v>
      </c>
      <c r="H14" s="14" t="n">
        <f aca="false">IF(ISNUMBER(E14),LN(E14),"")</f>
        <v>-0.650470906279509</v>
      </c>
      <c r="I14" s="14" t="n">
        <f aca="false">IF(ISNUMBER(F14),LN(F14),"")</f>
        <v>-0.657008133944072</v>
      </c>
      <c r="J14" s="10" t="n">
        <v>0</v>
      </c>
      <c r="K14" s="10" t="n">
        <v>1</v>
      </c>
      <c r="L14" s="10" t="n">
        <v>1</v>
      </c>
    </row>
    <row r="15" customFormat="false" ht="15" hidden="false" customHeight="false" outlineLevel="0" collapsed="false">
      <c r="A15" s="13" t="s">
        <v>129</v>
      </c>
      <c r="B15" s="13" t="s">
        <v>134</v>
      </c>
      <c r="C15" s="10" t="n">
        <v>9</v>
      </c>
      <c r="D15" s="16" t="n">
        <v>0.0021</v>
      </c>
      <c r="E15" s="16" t="n">
        <v>0.0279</v>
      </c>
      <c r="F15" s="16" t="n">
        <v>0.0604</v>
      </c>
      <c r="G15" s="14" t="n">
        <f aca="false">IF(ISNUMBER(D15),LN(D15),"")</f>
        <v>-6.16581793425276</v>
      </c>
      <c r="H15" s="14" t="n">
        <f aca="false">IF(ISNUMBER(E15),LN(E15),"")</f>
        <v>-3.57912859015482</v>
      </c>
      <c r="I15" s="14" t="n">
        <f aca="false">IF(ISNUMBER(F15),LN(F15),"")</f>
        <v>-2.80676617404137</v>
      </c>
      <c r="J15" s="10" t="n">
        <v>0</v>
      </c>
      <c r="K15" s="10" t="n">
        <v>1</v>
      </c>
      <c r="L15" s="10" t="n">
        <v>1</v>
      </c>
    </row>
    <row r="16" customFormat="false" ht="15" hidden="false" customHeight="false" outlineLevel="0" collapsed="false">
      <c r="A16" s="13" t="s">
        <v>129</v>
      </c>
      <c r="B16" s="13" t="s">
        <v>135</v>
      </c>
      <c r="C16" s="10" t="n">
        <v>6</v>
      </c>
      <c r="D16" s="16" t="n">
        <v>0.0093</v>
      </c>
      <c r="E16" s="16" t="n">
        <v>0.1728</v>
      </c>
      <c r="F16" s="16" t="n">
        <v>0.1591</v>
      </c>
      <c r="G16" s="14" t="n">
        <f aca="false">IF(ISNUMBER(D16),LN(D16),"")</f>
        <v>-4.67774087882293</v>
      </c>
      <c r="H16" s="14" t="n">
        <f aca="false">IF(ISNUMBER(E16),LN(E16),"")</f>
        <v>-1.75562042261218</v>
      </c>
      <c r="I16" s="14" t="n">
        <f aca="false">IF(ISNUMBER(F16),LN(F16),"")</f>
        <v>-1.8382223436384</v>
      </c>
      <c r="J16" s="10" t="n">
        <v>0</v>
      </c>
      <c r="K16" s="10" t="n">
        <v>1</v>
      </c>
      <c r="L16" s="10" t="n">
        <v>1</v>
      </c>
    </row>
    <row r="17" customFormat="false" ht="15" hidden="false" customHeight="false" outlineLevel="0" collapsed="false">
      <c r="A17" s="13" t="s">
        <v>129</v>
      </c>
      <c r="B17" s="13" t="s">
        <v>136</v>
      </c>
      <c r="C17" s="10" t="n">
        <v>3</v>
      </c>
      <c r="D17" s="16" t="n">
        <v>0.0056</v>
      </c>
      <c r="E17" s="16" t="n">
        <v>0.1991</v>
      </c>
      <c r="F17" s="16" t="n">
        <v>0.1351</v>
      </c>
      <c r="G17" s="14" t="n">
        <f aca="false">IF(ISNUMBER(D17),LN(D17),"")</f>
        <v>-5.18498868124103</v>
      </c>
      <c r="H17" s="14" t="n">
        <f aca="false">IF(ISNUMBER(E17),LN(E17),"")</f>
        <v>-1.61394806791199</v>
      </c>
      <c r="I17" s="14" t="n">
        <f aca="false">IF(ISNUMBER(F17),LN(F17),"")</f>
        <v>-2.00174003401598</v>
      </c>
      <c r="J17" s="10" t="n">
        <v>0</v>
      </c>
      <c r="K17" s="10" t="n">
        <v>1</v>
      </c>
      <c r="L17" s="10" t="n">
        <v>1</v>
      </c>
    </row>
    <row r="18" customFormat="false" ht="15" hidden="false" customHeight="false" outlineLevel="0" collapsed="false">
      <c r="A18" s="13" t="s">
        <v>137</v>
      </c>
      <c r="B18" s="13" t="s">
        <v>106</v>
      </c>
      <c r="C18" s="10" t="n">
        <v>162</v>
      </c>
      <c r="D18" s="16" t="n">
        <v>0.2869</v>
      </c>
      <c r="E18" s="16" t="n">
        <v>0.7666</v>
      </c>
      <c r="F18" s="16" t="n">
        <v>0.8389</v>
      </c>
      <c r="G18" s="14" t="n">
        <f aca="false">IF(ISNUMBER(D18),LN(D18),"")</f>
        <v>-1.24862155599482</v>
      </c>
      <c r="H18" s="14" t="n">
        <f aca="false">IF(ISNUMBER(E18),LN(E18),"")</f>
        <v>-0.265790126035682</v>
      </c>
      <c r="I18" s="14" t="n">
        <f aca="false">IF(ISNUMBER(F18),LN(F18),"")</f>
        <v>-0.175663769129888</v>
      </c>
      <c r="J18" s="10" t="n">
        <v>0</v>
      </c>
      <c r="K18" s="10" t="n">
        <v>0</v>
      </c>
      <c r="L18" s="10" t="n">
        <v>0</v>
      </c>
    </row>
    <row r="19" customFormat="false" ht="15" hidden="false" customHeight="false" outlineLevel="0" collapsed="false">
      <c r="A19" s="13" t="s">
        <v>137</v>
      </c>
      <c r="B19" s="13" t="s">
        <v>130</v>
      </c>
      <c r="C19" s="10" t="n">
        <v>25</v>
      </c>
      <c r="D19" s="16" t="n">
        <v>1</v>
      </c>
      <c r="E19" s="16" t="n">
        <v>0.3532</v>
      </c>
      <c r="F19" s="16" t="n">
        <v>0.9568</v>
      </c>
      <c r="G19" s="14" t="n">
        <f aca="false">IF(ISNUMBER(D19),LN(D19),"")</f>
        <v>0</v>
      </c>
      <c r="H19" s="14" t="n">
        <f aca="false">IF(ISNUMBER(E19),LN(E19),"")</f>
        <v>-1.04072081025233</v>
      </c>
      <c r="I19" s="14" t="n">
        <f aca="false">IF(ISNUMBER(F19),LN(F19),"")</f>
        <v>-0.0441608957857698</v>
      </c>
      <c r="J19" s="10" t="n">
        <v>0</v>
      </c>
      <c r="K19" s="10" t="n">
        <v>0</v>
      </c>
      <c r="L19" s="10" t="n">
        <v>1</v>
      </c>
    </row>
    <row r="20" customFormat="false" ht="15" hidden="false" customHeight="false" outlineLevel="0" collapsed="false">
      <c r="A20" s="13" t="s">
        <v>137</v>
      </c>
      <c r="B20" s="13" t="s">
        <v>131</v>
      </c>
      <c r="C20" s="10" t="n">
        <v>6</v>
      </c>
      <c r="D20" s="16" t="n">
        <v>0.9155</v>
      </c>
      <c r="E20" s="16" t="n">
        <v>0.6709</v>
      </c>
      <c r="F20" s="16" t="n">
        <v>0.3149</v>
      </c>
      <c r="G20" s="14" t="n">
        <f aca="false">IF(ISNUMBER(D20),LN(D20),"")</f>
        <v>-0.0882849148675717</v>
      </c>
      <c r="H20" s="14" t="n">
        <f aca="false">IF(ISNUMBER(E20),LN(E20),"")</f>
        <v>-0.399135184413295</v>
      </c>
      <c r="I20" s="14" t="n">
        <f aca="false">IF(ISNUMBER(F20),LN(F20),"")</f>
        <v>-1.15550015087516</v>
      </c>
      <c r="J20" s="10" t="n">
        <v>0</v>
      </c>
      <c r="K20" s="10" t="n">
        <v>0</v>
      </c>
      <c r="L20" s="10" t="n">
        <v>1</v>
      </c>
    </row>
    <row r="21" customFormat="false" ht="15" hidden="false" customHeight="false" outlineLevel="0" collapsed="false">
      <c r="A21" s="13" t="s">
        <v>137</v>
      </c>
      <c r="B21" s="13" t="s">
        <v>132</v>
      </c>
      <c r="C21" s="10" t="n">
        <v>40</v>
      </c>
      <c r="D21" s="16" t="n">
        <v>0.0754</v>
      </c>
      <c r="E21" s="16" t="n">
        <v>0.252</v>
      </c>
      <c r="F21" s="16" t="n">
        <v>0.126</v>
      </c>
      <c r="G21" s="14" t="n">
        <f aca="false">IF(ISNUMBER(D21),LN(D21),"")</f>
        <v>-2.58494800396823</v>
      </c>
      <c r="H21" s="14" t="n">
        <f aca="false">IF(ISNUMBER(E21),LN(E21),"")</f>
        <v>-1.37832619147071</v>
      </c>
      <c r="I21" s="14" t="n">
        <f aca="false">IF(ISNUMBER(F21),LN(F21),"")</f>
        <v>-2.07147337203066</v>
      </c>
      <c r="J21" s="10" t="n">
        <v>0</v>
      </c>
      <c r="K21" s="10" t="n">
        <v>0</v>
      </c>
      <c r="L21" s="10" t="n">
        <v>1</v>
      </c>
    </row>
    <row r="22" customFormat="false" ht="15" hidden="false" customHeight="false" outlineLevel="0" collapsed="false">
      <c r="A22" s="13" t="s">
        <v>137</v>
      </c>
      <c r="B22" s="13" t="s">
        <v>133</v>
      </c>
      <c r="C22" s="10" t="n">
        <v>23</v>
      </c>
      <c r="D22" s="16" t="n">
        <v>0.3342</v>
      </c>
      <c r="E22" s="16" t="n">
        <v>1</v>
      </c>
      <c r="F22" s="16" t="n">
        <v>0.7357</v>
      </c>
      <c r="G22" s="14" t="n">
        <f aca="false">IF(ISNUMBER(D22),LN(D22),"")</f>
        <v>-1.09601566282084</v>
      </c>
      <c r="H22" s="14" t="n">
        <f aca="false">IF(ISNUMBER(E22),LN(E22),"")</f>
        <v>0</v>
      </c>
      <c r="I22" s="14" t="n">
        <f aca="false">IF(ISNUMBER(F22),LN(F22),"")</f>
        <v>-0.306932852043918</v>
      </c>
      <c r="J22" s="10" t="n">
        <v>0</v>
      </c>
      <c r="K22" s="10" t="n">
        <v>0</v>
      </c>
      <c r="L22" s="10" t="n">
        <v>1</v>
      </c>
    </row>
    <row r="23" customFormat="false" ht="15" hidden="false" customHeight="false" outlineLevel="0" collapsed="false">
      <c r="A23" s="13" t="s">
        <v>138</v>
      </c>
      <c r="B23" s="13" t="s">
        <v>106</v>
      </c>
      <c r="C23" s="10" t="n">
        <v>328</v>
      </c>
      <c r="D23" s="16" t="n">
        <v>0.2184</v>
      </c>
      <c r="E23" s="16" t="n">
        <v>0.1073</v>
      </c>
      <c r="F23" s="16" t="n">
        <v>0.0035</v>
      </c>
      <c r="G23" s="14" t="n">
        <f aca="false">IF(ISNUMBER(D23),LN(D23),"")</f>
        <v>-1.52142703511139</v>
      </c>
      <c r="H23" s="14" t="n">
        <f aca="false">IF(ISNUMBER(E23),LN(E23),"")</f>
        <v>-2.23212662934548</v>
      </c>
      <c r="I23" s="14" t="n">
        <f aca="false">IF(ISNUMBER(F23),LN(F23),"")</f>
        <v>-5.65499231048677</v>
      </c>
      <c r="J23" s="10" t="n">
        <v>0</v>
      </c>
      <c r="K23" s="10" t="n">
        <v>0</v>
      </c>
      <c r="L23" s="10" t="n">
        <v>0</v>
      </c>
    </row>
    <row r="24" customFormat="false" ht="15" hidden="false" customHeight="false" outlineLevel="0" collapsed="false">
      <c r="A24" s="13" t="s">
        <v>138</v>
      </c>
      <c r="B24" s="13" t="s">
        <v>130</v>
      </c>
      <c r="C24" s="10" t="n">
        <v>61</v>
      </c>
      <c r="D24" s="16" t="n">
        <v>0.1232</v>
      </c>
      <c r="E24" s="16" t="n">
        <v>0.4407</v>
      </c>
      <c r="F24" s="16" t="n">
        <v>0.2873</v>
      </c>
      <c r="G24" s="14" t="n">
        <f aca="false">IF(ISNUMBER(D24),LN(D24),"")</f>
        <v>-2.09394622788272</v>
      </c>
      <c r="H24" s="14" t="n">
        <f aca="false">IF(ISNUMBER(E24),LN(E24),"")</f>
        <v>-0.819390907134196</v>
      </c>
      <c r="I24" s="14" t="n">
        <f aca="false">IF(ISNUMBER(F24),LN(F24),"")</f>
        <v>-1.24722831299689</v>
      </c>
      <c r="J24" s="10" t="n">
        <v>0</v>
      </c>
      <c r="K24" s="10" t="n">
        <v>0</v>
      </c>
      <c r="L24" s="10" t="n">
        <v>1</v>
      </c>
    </row>
    <row r="25" customFormat="false" ht="15" hidden="false" customHeight="false" outlineLevel="0" collapsed="false">
      <c r="A25" s="13" t="s">
        <v>138</v>
      </c>
      <c r="B25" s="13" t="s">
        <v>131</v>
      </c>
      <c r="C25" s="10" t="n">
        <v>32</v>
      </c>
      <c r="D25" s="16" t="n">
        <v>0.818</v>
      </c>
      <c r="E25" s="16" t="n">
        <v>0.8583</v>
      </c>
      <c r="F25" s="16" t="n">
        <v>0.4869</v>
      </c>
      <c r="G25" s="14" t="n">
        <f aca="false">IF(ISNUMBER(D25),LN(D25),"")</f>
        <v>-0.20089294237939</v>
      </c>
      <c r="H25" s="14" t="n">
        <f aca="false">IF(ISNUMBER(E25),LN(E25),"")</f>
        <v>-0.152801590257963</v>
      </c>
      <c r="I25" s="14" t="n">
        <f aca="false">IF(ISNUMBER(F25),LN(F25),"")</f>
        <v>-0.719696515793482</v>
      </c>
      <c r="J25" s="10" t="n">
        <v>0</v>
      </c>
      <c r="K25" s="10" t="n">
        <v>0</v>
      </c>
      <c r="L25" s="10" t="n">
        <v>1</v>
      </c>
    </row>
    <row r="26" customFormat="false" ht="15" hidden="false" customHeight="false" outlineLevel="0" collapsed="false">
      <c r="A26" s="13" t="s">
        <v>138</v>
      </c>
      <c r="B26" s="13" t="s">
        <v>132</v>
      </c>
      <c r="C26" s="10" t="n">
        <v>46</v>
      </c>
      <c r="D26" s="16" t="n">
        <v>0.1889</v>
      </c>
      <c r="E26" s="16" t="n">
        <v>1</v>
      </c>
      <c r="F26" s="16" t="n">
        <v>0.9684</v>
      </c>
      <c r="G26" s="14" t="n">
        <f aca="false">IF(ISNUMBER(D26),LN(D26),"")</f>
        <v>-1.66653750447467</v>
      </c>
      <c r="H26" s="14" t="n">
        <f aca="false">IF(ISNUMBER(E26),LN(E26),"")</f>
        <v>0</v>
      </c>
      <c r="I26" s="14" t="n">
        <f aca="false">IF(ISNUMBER(F26),LN(F26),"")</f>
        <v>-0.0321100539182336</v>
      </c>
      <c r="J26" s="10" t="n">
        <v>0</v>
      </c>
      <c r="K26" s="10" t="n">
        <v>0</v>
      </c>
      <c r="L26" s="10" t="n">
        <v>1</v>
      </c>
    </row>
    <row r="27" customFormat="false" ht="15" hidden="false" customHeight="false" outlineLevel="0" collapsed="false">
      <c r="A27" s="13" t="s">
        <v>138</v>
      </c>
      <c r="B27" s="13" t="s">
        <v>133</v>
      </c>
      <c r="C27" s="10" t="n">
        <v>41</v>
      </c>
      <c r="D27" s="16" t="n">
        <v>0.7409</v>
      </c>
      <c r="E27" s="16" t="n">
        <v>0.4398</v>
      </c>
      <c r="F27" s="16" t="n">
        <v>0.0327</v>
      </c>
      <c r="G27" s="14" t="n">
        <f aca="false">IF(ISNUMBER(D27),LN(D27),"")</f>
        <v>-0.299889615559526</v>
      </c>
      <c r="H27" s="14" t="n">
        <f aca="false">IF(ISNUMBER(E27),LN(E27),"")</f>
        <v>-0.821435200861476</v>
      </c>
      <c r="I27" s="14" t="n">
        <f aca="false">IF(ISNUMBER(F27),LN(F27),"")</f>
        <v>-3.42038020107893</v>
      </c>
      <c r="J27" s="10" t="n">
        <v>0</v>
      </c>
      <c r="K27" s="10" t="n">
        <v>0</v>
      </c>
      <c r="L27" s="10" t="n">
        <v>1</v>
      </c>
    </row>
    <row r="28" customFormat="false" ht="15" hidden="false" customHeight="false" outlineLevel="0" collapsed="false">
      <c r="A28" s="13" t="s">
        <v>139</v>
      </c>
      <c r="B28" s="13" t="s">
        <v>106</v>
      </c>
      <c r="C28" s="10" t="n">
        <v>89</v>
      </c>
      <c r="D28" s="16" t="n">
        <v>0.4538</v>
      </c>
      <c r="E28" s="16" t="n">
        <v>0.6524</v>
      </c>
      <c r="F28" s="16" t="n">
        <v>0.5989</v>
      </c>
      <c r="G28" s="14" t="n">
        <f aca="false">IF(ISNUMBER(D28),LN(D28),"")</f>
        <v>-0.790098706636396</v>
      </c>
      <c r="H28" s="14" t="n">
        <f aca="false">IF(ISNUMBER(E28),LN(E28),"")</f>
        <v>-0.427097408235278</v>
      </c>
      <c r="I28" s="14" t="n">
        <f aca="false">IF(ISNUMBER(F28),LN(F28),"")</f>
        <v>-0.51266063971172</v>
      </c>
      <c r="J28" s="10" t="n">
        <v>0</v>
      </c>
      <c r="K28" s="10" t="n">
        <v>0</v>
      </c>
      <c r="L28" s="10" t="n">
        <v>0</v>
      </c>
    </row>
    <row r="29" customFormat="false" ht="15" hidden="false" customHeight="false" outlineLevel="0" collapsed="false">
      <c r="A29" s="13" t="s">
        <v>139</v>
      </c>
      <c r="B29" s="13" t="s">
        <v>130</v>
      </c>
      <c r="C29" s="10" t="n">
        <v>15</v>
      </c>
      <c r="D29" s="16" t="n">
        <v>0.0771</v>
      </c>
      <c r="E29" s="16" t="n">
        <v>0.3083</v>
      </c>
      <c r="F29" s="16" t="n">
        <v>0.2501</v>
      </c>
      <c r="G29" s="14" t="n">
        <f aca="false">IF(ISNUMBER(D29),LN(D29),"")</f>
        <v>-2.56265199841285</v>
      </c>
      <c r="H29" s="14" t="n">
        <f aca="false">IF(ISNUMBER(E29),LN(E29),"")</f>
        <v>-1.17668194409003</v>
      </c>
      <c r="I29" s="14" t="n">
        <f aca="false">IF(ISNUMBER(F29),LN(F29),"")</f>
        <v>-1.38589444109856</v>
      </c>
      <c r="J29" s="10" t="n">
        <v>0</v>
      </c>
      <c r="K29" s="10" t="n">
        <v>0</v>
      </c>
      <c r="L29" s="10" t="n">
        <v>1</v>
      </c>
    </row>
    <row r="30" customFormat="false" ht="15" hidden="false" customHeight="false" outlineLevel="0" collapsed="false">
      <c r="A30" s="13" t="s">
        <v>139</v>
      </c>
      <c r="B30" s="13" t="s">
        <v>131</v>
      </c>
      <c r="C30" s="10" t="n">
        <v>10</v>
      </c>
      <c r="D30" s="16" t="n">
        <v>0.1665</v>
      </c>
      <c r="E30" s="16" t="n">
        <v>0.2578</v>
      </c>
      <c r="F30" s="16" t="n">
        <v>0.4378</v>
      </c>
      <c r="G30" s="14" t="n">
        <f aca="false">IF(ISNUMBER(D30),LN(D30),"")</f>
        <v>-1.79275996956164</v>
      </c>
      <c r="H30" s="14" t="n">
        <f aca="false">IF(ISNUMBER(E30),LN(E30),"")</f>
        <v>-1.35557118847705</v>
      </c>
      <c r="I30" s="14" t="n">
        <f aca="false">IF(ISNUMBER(F30),LN(F30),"")</f>
        <v>-0.825993093893374</v>
      </c>
      <c r="J30" s="10" t="n">
        <v>0</v>
      </c>
      <c r="K30" s="10" t="n">
        <v>0</v>
      </c>
      <c r="L30" s="10" t="n">
        <v>1</v>
      </c>
    </row>
    <row r="31" customFormat="false" ht="15" hidden="false" customHeight="false" outlineLevel="0" collapsed="false">
      <c r="A31" s="13" t="s">
        <v>139</v>
      </c>
      <c r="B31" s="13" t="s">
        <v>132</v>
      </c>
      <c r="C31" s="10" t="n">
        <v>12</v>
      </c>
      <c r="D31" s="16" t="n">
        <v>0.8953</v>
      </c>
      <c r="E31" s="16" t="n">
        <v>0.8064</v>
      </c>
      <c r="F31" s="16" t="n">
        <v>0.9367</v>
      </c>
      <c r="G31" s="14" t="n">
        <f aca="false">IF(ISNUMBER(D31),LN(D31),"")</f>
        <v>-0.110596421342027</v>
      </c>
      <c r="H31" s="14" t="n">
        <f aca="false">IF(ISNUMBER(E31),LN(E31),"")</f>
        <v>-0.215175381665033</v>
      </c>
      <c r="I31" s="14" t="n">
        <f aca="false">IF(ISNUMBER(F31),LN(F31),"")</f>
        <v>-0.0653922187670522</v>
      </c>
      <c r="J31" s="10" t="n">
        <v>0</v>
      </c>
      <c r="K31" s="10" t="n">
        <v>0</v>
      </c>
      <c r="L31" s="10" t="n">
        <v>1</v>
      </c>
    </row>
    <row r="32" customFormat="false" ht="15" hidden="false" customHeight="false" outlineLevel="0" collapsed="false">
      <c r="A32" s="13" t="s">
        <v>139</v>
      </c>
      <c r="B32" s="13" t="s">
        <v>133</v>
      </c>
      <c r="C32" s="10" t="n">
        <v>5</v>
      </c>
      <c r="D32" s="16" t="n">
        <v>0.0924</v>
      </c>
      <c r="E32" s="16" t="n">
        <v>0.4427</v>
      </c>
      <c r="F32" s="16" t="n">
        <v>0.7033</v>
      </c>
      <c r="G32" s="14" t="n">
        <f aca="false">IF(ISNUMBER(D32),LN(D32),"")</f>
        <v>-2.3816283003345</v>
      </c>
      <c r="H32" s="14" t="n">
        <f aca="false">IF(ISNUMBER(E32),LN(E32),"")</f>
        <v>-0.814862939244042</v>
      </c>
      <c r="I32" s="14" t="n">
        <f aca="false">IF(ISNUMBER(F32),LN(F32),"")</f>
        <v>-0.351971735668164</v>
      </c>
      <c r="J32" s="10" t="n">
        <v>0</v>
      </c>
      <c r="K32" s="10" t="n">
        <v>0</v>
      </c>
      <c r="L32" s="1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2"/>
    <col collapsed="false" customWidth="true" hidden="false" outlineLevel="0" max="5" min="3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140</v>
      </c>
      <c r="B1" s="3"/>
      <c r="C1" s="3"/>
      <c r="D1" s="3"/>
      <c r="E1" s="3"/>
      <c r="F1" s="3"/>
      <c r="G1" s="3"/>
      <c r="H1" s="3"/>
    </row>
    <row r="2" customFormat="false" ht="15" hidden="false" customHeight="false" outlineLevel="0" collapsed="false">
      <c r="A2" s="8" t="s">
        <v>141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48" hidden="false" customHeight="true" outlineLevel="0" collapsed="false">
      <c r="A4" s="4" t="s">
        <v>142</v>
      </c>
      <c r="B4" s="4" t="s">
        <v>143</v>
      </c>
      <c r="C4" s="4" t="s">
        <v>144</v>
      </c>
      <c r="D4" s="4" t="s">
        <v>145</v>
      </c>
      <c r="E4" s="4" t="s">
        <v>146</v>
      </c>
      <c r="F4" s="4" t="s">
        <v>147</v>
      </c>
      <c r="G4" s="4" t="s">
        <v>148</v>
      </c>
      <c r="H4" s="4" t="s">
        <v>149</v>
      </c>
    </row>
    <row r="5" customFormat="false" ht="15" hidden="false" customHeight="false" outlineLevel="0" collapsed="false">
      <c r="A5" s="13" t="s">
        <v>150</v>
      </c>
      <c r="B5" s="13" t="s">
        <v>107</v>
      </c>
      <c r="C5" s="19" t="n">
        <f aca="false">COUNTIFS('Fisher inputs'!$J$5:$J$32,1,'Fisher inputs'!$D$5:$D$32,"&gt;0")</f>
        <v>2</v>
      </c>
      <c r="D5" s="20" t="n">
        <f aca="false">-2*SUMIFS('Fisher inputs'!$G$5:$G$32,'Fisher inputs'!$J$5:$J$32,1)</f>
        <v>29.0831185993139</v>
      </c>
      <c r="E5" s="13" t="n">
        <f aca="false">2*C5</f>
        <v>4</v>
      </c>
      <c r="F5" s="21" t="n">
        <f aca="false">CHIDIST(D5,E5)</f>
        <v>7.51926910118124E-006</v>
      </c>
      <c r="G5" s="7" t="n">
        <f aca="false">1/F5</f>
        <v>132991.649393543</v>
      </c>
      <c r="H5" s="18" t="n">
        <v>4.3E-006</v>
      </c>
    </row>
    <row r="6" customFormat="false" ht="15" hidden="false" customHeight="false" outlineLevel="0" collapsed="false">
      <c r="A6" s="13" t="s">
        <v>150</v>
      </c>
      <c r="B6" s="13" t="s">
        <v>108</v>
      </c>
      <c r="C6" s="19" t="n">
        <f aca="false">COUNTIFS('Fisher inputs'!$J$5:$J$32,1,'Fisher inputs'!$E$5:$E$32,"&gt;0")</f>
        <v>2</v>
      </c>
      <c r="D6" s="20" t="n">
        <f aca="false">-2*SUMIFS('Fisher inputs'!$H$5:$H$32,'Fisher inputs'!$J$5:$J$32,1)</f>
        <v>13.4682104065202</v>
      </c>
      <c r="E6" s="13" t="n">
        <f aca="false">2*C6</f>
        <v>4</v>
      </c>
      <c r="F6" s="21" t="n">
        <f aca="false">CHIDIST(D6,E6)</f>
        <v>0.00920079479893272</v>
      </c>
      <c r="G6" s="7" t="n">
        <f aca="false">1/F6</f>
        <v>108.686262638528</v>
      </c>
      <c r="H6" s="18" t="n">
        <v>8.9E-005</v>
      </c>
    </row>
    <row r="7" customFormat="false" ht="15" hidden="false" customHeight="false" outlineLevel="0" collapsed="false">
      <c r="A7" s="13" t="s">
        <v>150</v>
      </c>
      <c r="B7" s="13" t="s">
        <v>109</v>
      </c>
      <c r="C7" s="19" t="n">
        <f aca="false">COUNTIFS('Fisher inputs'!$J$5:$J$32,1,'Fisher inputs'!$F$5:$F$32,"&gt;0")</f>
        <v>2</v>
      </c>
      <c r="D7" s="20" t="n">
        <f aca="false">-2*SUMIFS('Fisher inputs'!$I$5:$I$32,'Fisher inputs'!$J$5:$J$32,1)</f>
        <v>13.0276664823818</v>
      </c>
      <c r="E7" s="13" t="n">
        <f aca="false">2*C7</f>
        <v>4</v>
      </c>
      <c r="F7" s="21" t="n">
        <f aca="false">CHIDIST(D7,E7)</f>
        <v>0.0111413987940936</v>
      </c>
      <c r="G7" s="7" t="n">
        <f aca="false">1/F7</f>
        <v>89.7553366934616</v>
      </c>
      <c r="H7" s="18" t="n">
        <v>7.5E-005</v>
      </c>
    </row>
    <row r="8" customFormat="false" ht="15" hidden="false" customHeight="false" outlineLevel="0" collapsed="false">
      <c r="A8" s="13" t="s">
        <v>151</v>
      </c>
      <c r="B8" s="13" t="s">
        <v>107</v>
      </c>
      <c r="C8" s="19" t="n">
        <f aca="false">COUNTIFS('Fisher inputs'!$K$5:$K$32,1,'Fisher inputs'!$D$5:$D$32,"&gt;0")</f>
        <v>10</v>
      </c>
      <c r="D8" s="20" t="n">
        <f aca="false">-2*SUMIFS('Fisher inputs'!$G$5:$G$32,'Fisher inputs'!$K$5:$K$32,1)</f>
        <v>46.0276246981528</v>
      </c>
      <c r="E8" s="13" t="n">
        <f aca="false">2*C8</f>
        <v>20</v>
      </c>
      <c r="F8" s="21" t="n">
        <f aca="false">CHIDIST(D8,E8)</f>
        <v>0.000799014486014614</v>
      </c>
      <c r="G8" s="7" t="n">
        <f aca="false">1/F8</f>
        <v>1251.54176489074</v>
      </c>
      <c r="H8" s="18" t="n">
        <v>0.0007</v>
      </c>
    </row>
    <row r="9" customFormat="false" ht="15" hidden="false" customHeight="false" outlineLevel="0" collapsed="false">
      <c r="A9" s="13" t="s">
        <v>151</v>
      </c>
      <c r="B9" s="13" t="s">
        <v>108</v>
      </c>
      <c r="C9" s="19" t="n">
        <f aca="false">COUNTIFS('Fisher inputs'!$K$5:$K$32,1,'Fisher inputs'!$E$5:$E$32,"&gt;0")</f>
        <v>11</v>
      </c>
      <c r="D9" s="20" t="n">
        <f aca="false">-2*SUMIFS('Fisher inputs'!$H$5:$H$32,'Fisher inputs'!$K$5:$K$32,1)</f>
        <v>25.2720701538291</v>
      </c>
      <c r="E9" s="13" t="n">
        <f aca="false">2*C9</f>
        <v>22</v>
      </c>
      <c r="F9" s="21" t="n">
        <f aca="false">CHIDIST(D9,E9)</f>
        <v>0.284241752521727</v>
      </c>
      <c r="G9" s="7" t="n">
        <f aca="false">1/F9</f>
        <v>3.51813198141452</v>
      </c>
      <c r="H9" s="18" t="n">
        <v>0.05</v>
      </c>
    </row>
    <row r="10" customFormat="false" ht="15" hidden="false" customHeight="false" outlineLevel="0" collapsed="false">
      <c r="A10" s="13" t="s">
        <v>151</v>
      </c>
      <c r="B10" s="13" t="s">
        <v>109</v>
      </c>
      <c r="C10" s="19" t="n">
        <f aca="false">COUNTIFS('Fisher inputs'!$K$5:$K$32,1,'Fisher inputs'!$F$5:$F$32,"&gt;0")</f>
        <v>11</v>
      </c>
      <c r="D10" s="20" t="n">
        <f aca="false">-2*SUMIFS('Fisher inputs'!$I$5:$I$32,'Fisher inputs'!$K$5:$K$32,1)</f>
        <v>27.0937803594648</v>
      </c>
      <c r="E10" s="13" t="n">
        <f aca="false">2*C10</f>
        <v>22</v>
      </c>
      <c r="F10" s="21" t="n">
        <f aca="false">CHIDIST(D10,E10)</f>
        <v>0.20768621634634</v>
      </c>
      <c r="G10" s="7" t="n">
        <f aca="false">1/F10</f>
        <v>4.8149560312293</v>
      </c>
      <c r="H10" s="18" t="n">
        <v>0.0301</v>
      </c>
    </row>
    <row r="11" customFormat="false" ht="15" hidden="false" customHeight="false" outlineLevel="0" collapsed="false">
      <c r="A11" s="13" t="s">
        <v>152</v>
      </c>
      <c r="B11" s="13" t="s">
        <v>107</v>
      </c>
      <c r="C11" s="19" t="n">
        <f aca="false">COUNTIFS('Fisher inputs'!$L$5:$L$32,1,'Fisher inputs'!$D$5:$D$32,"&gt;0")</f>
        <v>22</v>
      </c>
      <c r="D11" s="20" t="n">
        <f aca="false">-2*SUMIFS('Fisher inputs'!$G$5:$G$32,'Fisher inputs'!$L$5:$L$32,1)</f>
        <v>75.7839278213608</v>
      </c>
      <c r="E11" s="13" t="n">
        <f aca="false">2*C11</f>
        <v>44</v>
      </c>
      <c r="F11" s="21" t="n">
        <f aca="false">CHIDIST(D11,E11)</f>
        <v>0.00204323541892751</v>
      </c>
      <c r="G11" s="7" t="n">
        <f aca="false">1/F11</f>
        <v>489.419863583267</v>
      </c>
      <c r="H11" s="18" t="n">
        <v>0.0018</v>
      </c>
    </row>
    <row r="12" customFormat="false" ht="15" hidden="false" customHeight="false" outlineLevel="0" collapsed="false">
      <c r="A12" s="13" t="s">
        <v>152</v>
      </c>
      <c r="B12" s="13" t="s">
        <v>108</v>
      </c>
      <c r="C12" s="19" t="n">
        <f aca="false">COUNTIFS('Fisher inputs'!$L$5:$L$32,1,'Fisher inputs'!$E$5:$E$32,"&gt;0")</f>
        <v>23</v>
      </c>
      <c r="D12" s="20" t="n">
        <f aca="false">-2*SUMIFS('Fisher inputs'!$H$5:$H$32,'Fisher inputs'!$L$5:$L$32,1)</f>
        <v>41.6202728295614</v>
      </c>
      <c r="E12" s="13" t="n">
        <f aca="false">2*C12</f>
        <v>46</v>
      </c>
      <c r="F12" s="21" t="n">
        <f aca="false">CHIDIST(D12,E12)</f>
        <v>0.656095624128368</v>
      </c>
      <c r="G12" s="7" t="n">
        <f aca="false">1/F12</f>
        <v>1.52416806822712</v>
      </c>
      <c r="H12" s="18" t="n">
        <v>0.3081</v>
      </c>
    </row>
    <row r="13" customFormat="false" ht="15" hidden="false" customHeight="false" outlineLevel="0" collapsed="false">
      <c r="A13" s="13" t="s">
        <v>152</v>
      </c>
      <c r="B13" s="13" t="s">
        <v>109</v>
      </c>
      <c r="C13" s="19" t="n">
        <f aca="false">COUNTIFS('Fisher inputs'!$L$5:$L$32,1,'Fisher inputs'!$F$5:$F$32,"&gt;0")</f>
        <v>23</v>
      </c>
      <c r="D13" s="20" t="n">
        <f aca="false">-2*SUMIFS('Fisher inputs'!$I$5:$I$32,'Fisher inputs'!$L$5:$L$32,1)</f>
        <v>50.3472480473652</v>
      </c>
      <c r="E13" s="13" t="n">
        <f aca="false">2*C13</f>
        <v>46</v>
      </c>
      <c r="F13" s="21" t="n">
        <f aca="false">CHIDIST(D13,E13)</f>
        <v>0.305467330113052</v>
      </c>
      <c r="G13" s="7" t="n">
        <f aca="false">1/F13</f>
        <v>3.27367250576324</v>
      </c>
      <c r="H13" s="18" t="n">
        <v>0.0903</v>
      </c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8" t="s">
        <v>153</v>
      </c>
      <c r="B15" s="3"/>
      <c r="C15" s="3"/>
      <c r="D15" s="3"/>
      <c r="E15" s="3"/>
      <c r="F15" s="3"/>
      <c r="G15" s="3"/>
      <c r="H1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2026-09-29T14:46:50Z</dcterms:created>
  <dc:creator>openpyxl</dc:creator>
  <dc:description/>
  <dc:language>en-US</dc:language>
  <cp:lastModifiedBy/>
  <dcterms:modified xsi:type="dcterms:W3CDTF">2026-09-29T14:46:51Z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